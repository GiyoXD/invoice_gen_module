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6" applyAlignment="1" pivotButton="0" quotePrefix="0" xfId="0">
      <alignment horizontal="center" vertical="top"/>
    </xf>
    <xf numFmtId="0" fontId="0" fillId="0" borderId="6" pivotButton="0" quotePrefix="0" xfId="0"/>
    <xf numFmtId="0" fontId="6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49" fontId="1" fillId="0" borderId="8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1" pivotButton="0" quotePrefix="0" xfId="0"/>
    <xf numFmtId="2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8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26/05/2025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JF25027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DAF(USD)</t>
        </is>
      </c>
      <c r="B33" s="8" t="n"/>
      <c r="C33" s="8" t="n"/>
      <c r="D33" s="8" t="n"/>
      <c r="E33" s="8" t="n"/>
      <c r="F33" s="2" t="n"/>
    </row>
    <row r="34" ht="20.45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5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15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5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CLF2025-150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JF25027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26/05/2025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9000675121</t>
        </is>
      </c>
      <c r="C22" s="58" t="inlineStr">
        <is>
          <t>01.10.W653191</t>
        </is>
      </c>
      <c r="D22" s="59" t="inlineStr">
        <is>
          <t>LEATHER</t>
        </is>
      </c>
      <c r="E22" s="60" t="n">
        <v>6461.7</v>
      </c>
      <c r="F22" s="60" t="n">
        <v>1.3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9000675121</t>
        </is>
      </c>
      <c r="C23" s="58" t="inlineStr">
        <is>
          <t>01.10.W653191</t>
        </is>
      </c>
      <c r="D23" s="61" t="n"/>
      <c r="E23" s="60" t="n">
        <v>77.90000000000001</v>
      </c>
      <c r="F23" s="60" t="n">
        <v>1.17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9000678762</t>
        </is>
      </c>
      <c r="C24" s="58" t="inlineStr">
        <is>
          <t>01.10.U756071</t>
        </is>
      </c>
      <c r="D24" s="61" t="n"/>
      <c r="E24" s="60" t="n">
        <v>20949.5</v>
      </c>
      <c r="F24" s="60" t="n">
        <v>1.25</v>
      </c>
      <c r="G24" s="60">
        <f>F24*E24</f>
        <v/>
      </c>
    </row>
    <row r="25" ht="35" customHeight="1">
      <c r="B25" s="58" t="inlineStr">
        <is>
          <t>9000678762</t>
        </is>
      </c>
      <c r="C25" s="58" t="inlineStr">
        <is>
          <t>01.10.U756071</t>
        </is>
      </c>
      <c r="D25" s="61" t="n"/>
      <c r="E25" s="60" t="n">
        <v>241.9</v>
      </c>
      <c r="F25" s="60" t="n">
        <v>1.13</v>
      </c>
      <c r="G25" s="60">
        <f>F25*E25</f>
        <v/>
      </c>
    </row>
    <row r="26" ht="35" customHeight="1">
      <c r="B26" s="58" t="n">
        <v>9000697761</v>
      </c>
      <c r="C26" s="58" t="inlineStr">
        <is>
          <t>01.10.U528062</t>
        </is>
      </c>
      <c r="D26" s="61" t="n"/>
      <c r="E26" s="60" t="n">
        <v>28156.8</v>
      </c>
      <c r="F26" s="60" t="n">
        <v>1.27</v>
      </c>
      <c r="G26" s="60">
        <f>F26*E26</f>
        <v/>
      </c>
    </row>
    <row r="27" ht="35" customHeight="1">
      <c r="B27" s="58" t="n">
        <v>9000697761</v>
      </c>
      <c r="C27" s="58" t="inlineStr">
        <is>
          <t>01.10.U528062</t>
        </is>
      </c>
      <c r="D27" s="61" t="n"/>
      <c r="E27" s="60" t="n">
        <v>711.1</v>
      </c>
      <c r="F27" s="60" t="n">
        <v>1.14</v>
      </c>
      <c r="G27" s="60">
        <f>F27*E27</f>
        <v/>
      </c>
    </row>
    <row r="28" ht="35" customHeight="1">
      <c r="B28" s="58" t="n">
        <v>9000699450</v>
      </c>
      <c r="C28" s="58" t="inlineStr">
        <is>
          <t>01.10.U528062</t>
        </is>
      </c>
      <c r="D28" s="61" t="n"/>
      <c r="E28" s="60" t="n">
        <v>1301.4</v>
      </c>
      <c r="F28" s="60" t="n">
        <v>1.14</v>
      </c>
      <c r="G28" s="60">
        <f>F28*E28</f>
        <v/>
      </c>
    </row>
    <row r="29" ht="35" customHeight="1">
      <c r="B29" s="58" t="n">
        <v>9000699450</v>
      </c>
      <c r="C29" s="58" t="inlineStr">
        <is>
          <t>01.10.U528062</t>
        </is>
      </c>
      <c r="D29" s="61" t="n"/>
      <c r="E29" s="60" t="n">
        <v>18717.9</v>
      </c>
      <c r="F29" s="60" t="n">
        <v>1.27</v>
      </c>
      <c r="G29" s="60">
        <f>F29*E29</f>
        <v/>
      </c>
    </row>
    <row r="30" ht="35" customHeight="1">
      <c r="B30" s="58" t="n">
        <v>9000699450</v>
      </c>
      <c r="C30" s="58" t="inlineStr">
        <is>
          <t>01.10.U528073</t>
        </is>
      </c>
      <c r="D30" s="61" t="n"/>
      <c r="E30" s="60" t="n">
        <v>106711.7</v>
      </c>
      <c r="F30" s="60" t="n">
        <v>1.25</v>
      </c>
      <c r="G30" s="60">
        <f>F30*E30</f>
        <v/>
      </c>
    </row>
    <row r="31" ht="35" customHeight="1">
      <c r="B31" s="58" t="n">
        <v>9000699450</v>
      </c>
      <c r="C31" s="58" t="inlineStr">
        <is>
          <t>01.10.U528073</t>
        </is>
      </c>
      <c r="D31" s="61" t="n"/>
      <c r="E31" s="60" t="n">
        <v>1320.6</v>
      </c>
      <c r="F31" s="60" t="n">
        <v>1.13</v>
      </c>
      <c r="G31" s="60">
        <f>F31*E31</f>
        <v/>
      </c>
    </row>
    <row r="32" ht="35" customHeight="1">
      <c r="B32" s="58" t="n">
        <v>9000699450</v>
      </c>
      <c r="C32" s="58" t="inlineStr">
        <is>
          <t>01.10.U528073</t>
        </is>
      </c>
      <c r="D32" s="61" t="n"/>
      <c r="E32" s="60" t="n">
        <v>367.3</v>
      </c>
      <c r="F32" s="60" t="n">
        <v>1.06</v>
      </c>
      <c r="G32" s="60">
        <f>F32*E32</f>
        <v/>
      </c>
    </row>
    <row r="33" ht="35" customHeight="1">
      <c r="B33" s="58" t="n">
        <v>9000701604</v>
      </c>
      <c r="C33" s="58" t="inlineStr">
        <is>
          <t>01.10.U528073</t>
        </is>
      </c>
      <c r="D33" s="61" t="n"/>
      <c r="E33" s="60" t="n">
        <v>101424.8</v>
      </c>
      <c r="F33" s="60" t="n">
        <v>1.25</v>
      </c>
      <c r="G33" s="60">
        <f>F33*E33</f>
        <v/>
      </c>
    </row>
    <row r="34" ht="35" customHeight="1">
      <c r="B34" s="58" t="n">
        <v>9000701604</v>
      </c>
      <c r="C34" s="58" t="inlineStr">
        <is>
          <t>01.10.U528073</t>
        </is>
      </c>
      <c r="D34" s="61" t="n"/>
      <c r="E34" s="60" t="n">
        <v>1205.1</v>
      </c>
      <c r="F34" s="60" t="n">
        <v>1.13</v>
      </c>
      <c r="G34" s="60">
        <f>F34*E34</f>
        <v/>
      </c>
    </row>
    <row r="35" ht="35" customHeight="1">
      <c r="B35" s="58" t="inlineStr">
        <is>
          <t>9000678672</t>
        </is>
      </c>
      <c r="C35" s="58" t="inlineStr">
        <is>
          <t>01.10.L2924</t>
        </is>
      </c>
      <c r="D35" s="61" t="n"/>
      <c r="E35" s="60" t="n">
        <v>5345</v>
      </c>
      <c r="F35" s="60" t="n">
        <v>1.3</v>
      </c>
      <c r="G35" s="60">
        <f>F35*E35</f>
        <v/>
      </c>
    </row>
    <row r="36" ht="35" customHeight="1">
      <c r="B36" s="58" t="inlineStr">
        <is>
          <t>9000678672</t>
        </is>
      </c>
      <c r="C36" s="58" t="inlineStr">
        <is>
          <t>01.10.L2924</t>
        </is>
      </c>
      <c r="D36" s="62" t="n"/>
      <c r="E36" s="60" t="n">
        <v>121</v>
      </c>
      <c r="F36" s="60" t="n">
        <v>1.17</v>
      </c>
      <c r="G36" s="60">
        <f>F36*E36</f>
        <v/>
      </c>
    </row>
    <row r="37" ht="35" customHeight="1">
      <c r="A37" s="63" t="n"/>
      <c r="B37" s="54" t="inlineStr">
        <is>
          <t>HS.CODE: 4107.12.00</t>
        </is>
      </c>
      <c r="C37" s="54" t="n"/>
      <c r="D37" s="55" t="n"/>
      <c r="E37" s="56" t="n"/>
      <c r="F37" s="56" t="n"/>
      <c r="G37" s="56" t="n"/>
    </row>
    <row r="38" ht="35" customHeight="1">
      <c r="A38" s="54" t="n"/>
      <c r="B38" s="54" t="inlineStr">
        <is>
          <t>TOTAL:</t>
        </is>
      </c>
      <c r="C38" s="54" t="inlineStr">
        <is>
          <t>31 PALLETS</t>
        </is>
      </c>
      <c r="D38" s="55" t="n"/>
      <c r="E38" s="56">
        <f>SUM(E22:E36)</f>
        <v/>
      </c>
      <c r="F38" s="56" t="n"/>
      <c r="G38" s="56">
        <f>SUM(G22:G36)</f>
        <v/>
      </c>
    </row>
    <row r="39" ht="61.5" customHeight="1">
      <c r="A39" s="64" t="inlineStr">
        <is>
          <t>Manufacture:</t>
        </is>
      </c>
      <c r="B39" s="65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5" t="n"/>
      <c r="E39" s="65" t="n"/>
      <c r="F39" s="32" t="n"/>
      <c r="G39" s="26" t="n"/>
      <c r="H39" s="2" t="n"/>
      <c r="I39" s="2" t="n"/>
      <c r="J39" s="2" t="n"/>
      <c r="K39" s="2" t="n"/>
      <c r="L39" s="66" t="n"/>
      <c r="M39" s="67" t="n"/>
      <c r="N39" s="68" t="n"/>
      <c r="O39" s="68" t="n"/>
    </row>
    <row r="40" ht="42" customHeight="1">
      <c r="A40" s="69" t="inlineStr">
        <is>
          <t>BENEFICIARY BANK：BANK OF CHINA(HONG KONG)LIMITED PHNOM PENH BRANCH
                                                  /BANK OF CHINA PHNOM PENH BRANCH</t>
        </is>
      </c>
      <c r="D40" s="69" t="n"/>
      <c r="E40" s="69" t="n"/>
      <c r="F40" s="69" t="n"/>
      <c r="G40" s="26" t="n"/>
      <c r="H40" s="2" t="n"/>
      <c r="I40" s="2" t="n"/>
      <c r="J40" s="2" t="n"/>
      <c r="K40" s="2" t="n"/>
      <c r="L40" s="66" t="n"/>
      <c r="M40" s="67" t="n"/>
      <c r="N40" s="68" t="n"/>
      <c r="O40" s="68" t="n"/>
    </row>
    <row r="41" ht="24.75" customHeight="1">
      <c r="A41" s="70" t="inlineStr">
        <is>
          <t>A/C NO:100001100764430</t>
        </is>
      </c>
      <c r="H41" s="2" t="n"/>
      <c r="I41" s="2" t="n"/>
      <c r="J41" s="2" t="n"/>
      <c r="K41" s="2" t="n"/>
      <c r="L41" s="66" t="n"/>
      <c r="M41" s="67" t="n"/>
      <c r="N41" s="68" t="n"/>
      <c r="O41" s="68" t="n"/>
    </row>
    <row r="42" ht="27" customHeight="1">
      <c r="A42" s="70" t="inlineStr">
        <is>
          <t>SWIFT CODE  ：BKCHKHPPXXX</t>
        </is>
      </c>
      <c r="H42" s="2" t="n"/>
      <c r="I42" s="2" t="n"/>
      <c r="J42" s="2" t="n"/>
      <c r="K42" s="2" t="n"/>
      <c r="L42" s="66" t="n"/>
      <c r="M42" s="67" t="n"/>
      <c r="N42" s="68" t="n"/>
      <c r="O42" s="68" t="n"/>
    </row>
    <row r="43" ht="61.5" customHeight="1">
      <c r="A43" s="2" t="n"/>
      <c r="B43" s="2" t="n"/>
      <c r="C43" s="2" t="n"/>
      <c r="D43" s="2" t="n"/>
      <c r="E43" s="71" t="inlineStr">
        <is>
          <t>CALIFOR UPHOLSTERY MATERIALS CO., LTD.</t>
        </is>
      </c>
      <c r="F43" s="71" t="n"/>
      <c r="G43" s="71" t="n"/>
      <c r="H43" s="71" t="n"/>
      <c r="I43" s="2" t="n"/>
      <c r="J43" s="2" t="n"/>
      <c r="K43" s="2" t="n"/>
      <c r="L43" s="66" t="n"/>
      <c r="M43" s="67" t="n"/>
      <c r="N43" s="68" t="n"/>
      <c r="O43" s="68" t="n"/>
    </row>
    <row r="44" ht="42" customHeight="1">
      <c r="A44" s="2" t="n"/>
      <c r="B44" s="2" t="n"/>
      <c r="C44" s="2" t="n"/>
      <c r="D44" s="72" t="n"/>
      <c r="E44" s="73" t="n"/>
      <c r="F44" s="74" t="inlineStr">
        <is>
          <t>Sign &amp; Stamp</t>
        </is>
      </c>
      <c r="G44" s="75" t="n"/>
      <c r="H44" s="2" t="n"/>
      <c r="I44" s="2" t="n"/>
      <c r="J44" s="2" t="n"/>
      <c r="K44" s="2" t="n"/>
      <c r="L44" s="66" t="n"/>
      <c r="M44" s="67" t="n"/>
      <c r="N44" s="68" t="n"/>
      <c r="O44" s="68" t="n"/>
    </row>
    <row r="45" ht="24.75" customHeight="1">
      <c r="A45" s="2" t="n"/>
      <c r="B45" s="2" t="n"/>
      <c r="C45" s="2" t="n"/>
      <c r="D45" s="72" t="n"/>
      <c r="E45" s="73" t="n"/>
      <c r="F45" s="73" t="n"/>
      <c r="G45" s="75" t="n"/>
      <c r="H45" s="2" t="n"/>
      <c r="I45" s="2" t="n"/>
      <c r="J45" s="2" t="n"/>
      <c r="K45" s="2" t="n"/>
      <c r="L45" s="66" t="n"/>
      <c r="M45" s="67" t="n"/>
      <c r="N45" s="68" t="n"/>
      <c r="O45" s="68" t="n"/>
    </row>
    <row r="46" ht="27" customHeight="1">
      <c r="A46" s="2" t="n"/>
      <c r="B46" s="2" t="n"/>
      <c r="C46" s="2" t="n"/>
      <c r="D46" s="72" t="n"/>
      <c r="E46" s="73" t="n"/>
      <c r="F46" s="73" t="n"/>
      <c r="G46" s="75" t="n"/>
      <c r="H46" s="2" t="n"/>
      <c r="I46" s="2" t="n"/>
      <c r="J46" s="2" t="n"/>
      <c r="K46" s="2" t="n"/>
      <c r="L46" s="66" t="n"/>
      <c r="M46" s="67" t="n"/>
      <c r="N46" s="68" t="n"/>
      <c r="O46" s="68" t="n"/>
    </row>
    <row r="47" ht="21" customHeight="1">
      <c r="A47" s="2" t="n"/>
      <c r="B47" s="2" t="n"/>
      <c r="C47" s="2" t="n"/>
      <c r="D47" s="72" t="n"/>
      <c r="E47" s="73" t="n"/>
      <c r="F47" s="76" t="inlineStr">
        <is>
          <t>ZENG XUELI</t>
        </is>
      </c>
      <c r="G47" s="76" t="n"/>
      <c r="H47" s="2" t="n"/>
      <c r="I47" s="2" t="n"/>
      <c r="J47" s="2" t="n"/>
      <c r="K47" s="2" t="n"/>
      <c r="L47" s="66" t="n"/>
      <c r="M47" s="67" t="n"/>
      <c r="N47" s="68" t="n"/>
      <c r="O47" s="68" t="n"/>
    </row>
  </sheetData>
  <mergeCells count="11">
    <mergeCell ref="B39:C39"/>
    <mergeCell ref="D22:D36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5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7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8" t="inlineStr">
        <is>
          <t>CLF2025-150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9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80" t="inlineStr">
        <is>
          <t>JF25027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7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26/05/2025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7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81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7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7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8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3" t="inlineStr">
        <is>
          <t>JASON FURNITURE VIET NAM COMPANY LIMITED</t>
        </is>
      </c>
      <c r="C13" s="2" t="n"/>
      <c r="D13" s="2" t="n"/>
      <c r="E13" s="2" t="n"/>
      <c r="F13" s="84" t="n"/>
      <c r="G13" s="84" t="n"/>
      <c r="H13" s="84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5" t="inlineStr">
        <is>
          <t>LOT 37, 38, 39, 40, 41, 44, 50, 51, 54，55, 56，B2 CLUSTER, DONG XOAI III INDUSTRIAL ZONE,</t>
        </is>
      </c>
      <c r="C14" s="47" t="n"/>
      <c r="D14" s="47" t="n"/>
      <c r="E14" s="86" t="n"/>
      <c r="F14" s="86" t="n"/>
      <c r="G14" s="86" t="n"/>
      <c r="H14" s="86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7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7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8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9" t="n"/>
      <c r="G21" s="56" t="inlineStr">
        <is>
          <t>N.W (kgs)</t>
        </is>
      </c>
      <c r="H21" s="56" t="inlineStr">
        <is>
          <t>G.W (kgs)</t>
        </is>
      </c>
      <c r="I21" s="90" t="inlineStr">
        <is>
          <t>CBM</t>
        </is>
      </c>
    </row>
    <row r="22" ht="27" customHeight="1">
      <c r="A22" s="62" t="n"/>
      <c r="B22" s="62" t="n"/>
      <c r="C22" s="62" t="n"/>
      <c r="D22" s="62" t="n"/>
      <c r="E22" s="91" t="inlineStr">
        <is>
          <t>PCS</t>
        </is>
      </c>
      <c r="F22" s="56" t="inlineStr">
        <is>
          <t>SF</t>
        </is>
      </c>
      <c r="G22" s="62" t="n"/>
      <c r="H22" s="62" t="n"/>
      <c r="I22" s="62" t="n"/>
    </row>
    <row r="23" ht="27" customHeight="1">
      <c r="A23" s="92" t="inlineStr">
        <is>
          <t>VENDOR#:</t>
        </is>
      </c>
      <c r="B23" s="93" t="inlineStr">
        <is>
          <t>9000675121</t>
        </is>
      </c>
      <c r="C23" s="93" t="inlineStr">
        <is>
          <t>01.10.W653191</t>
        </is>
      </c>
      <c r="D23" s="59" t="inlineStr">
        <is>
          <t>LEATHER</t>
        </is>
      </c>
      <c r="E23" s="94" t="n">
        <v>122</v>
      </c>
      <c r="F23" s="60" t="n">
        <v>6461.7</v>
      </c>
      <c r="G23" s="60" t="n">
        <v>467.8306</v>
      </c>
      <c r="H23" s="60" t="n">
        <v>512.1048</v>
      </c>
      <c r="I23" s="95" t="n">
        <v>1.8312</v>
      </c>
    </row>
    <row r="24" ht="27" customHeight="1">
      <c r="A24" s="92" t="inlineStr">
        <is>
          <t>Des: LEATHER</t>
        </is>
      </c>
      <c r="B24" s="93" t="inlineStr">
        <is>
          <t>9000675121</t>
        </is>
      </c>
      <c r="C24" s="93" t="inlineStr">
        <is>
          <t>01.10.W653191</t>
        </is>
      </c>
      <c r="D24" s="61" t="n"/>
      <c r="E24" s="94" t="n">
        <v>2</v>
      </c>
      <c r="F24" s="60" t="n">
        <v>77.90000000000001</v>
      </c>
      <c r="G24" s="60" t="n">
        <v>7.6694</v>
      </c>
      <c r="H24" s="60" t="n">
        <v>8.395200000000001</v>
      </c>
      <c r="I24" s="95" t="n">
        <v>0.03</v>
      </c>
    </row>
    <row r="25" ht="27" customHeight="1">
      <c r="A25" s="92" t="inlineStr">
        <is>
          <t>Case Qty:</t>
        </is>
      </c>
      <c r="B25" s="93" t="inlineStr">
        <is>
          <t>9000678762</t>
        </is>
      </c>
      <c r="C25" s="93" t="inlineStr">
        <is>
          <t>01.10.U756071</t>
        </is>
      </c>
      <c r="D25" s="61" t="n"/>
      <c r="E25" s="94" t="n">
        <v>190</v>
      </c>
      <c r="F25" s="60" t="n">
        <v>10009.4</v>
      </c>
      <c r="G25" s="60" t="n">
        <v>757</v>
      </c>
      <c r="H25" s="60" t="n">
        <v>802</v>
      </c>
      <c r="I25" s="95" t="n">
        <v>2.4552</v>
      </c>
    </row>
    <row r="26" ht="27" customHeight="1">
      <c r="A26" s="92" t="inlineStr">
        <is>
          <t>MADE IN CAMBODIA</t>
        </is>
      </c>
      <c r="B26" s="93" t="inlineStr">
        <is>
          <t>9000678762</t>
        </is>
      </c>
      <c r="C26" s="93" t="inlineStr">
        <is>
          <t>01.10.U756071</t>
        </is>
      </c>
      <c r="D26" s="61" t="n"/>
      <c r="E26" s="94" t="n">
        <v>208</v>
      </c>
      <c r="F26" s="60" t="n">
        <v>10940.1</v>
      </c>
      <c r="G26" s="60" t="n">
        <v>842.2056</v>
      </c>
      <c r="H26" s="60" t="n">
        <v>885.9439</v>
      </c>
      <c r="I26" s="95" t="n">
        <v>2.6943</v>
      </c>
    </row>
    <row r="27" ht="27" customHeight="1">
      <c r="B27" s="93" t="inlineStr">
        <is>
          <t>9000678762</t>
        </is>
      </c>
      <c r="C27" s="93" t="inlineStr">
        <is>
          <t>01.10.U756071</t>
        </is>
      </c>
      <c r="D27" s="61" t="n"/>
      <c r="E27" s="94" t="n">
        <v>6</v>
      </c>
      <c r="F27" s="60" t="n">
        <v>241.9</v>
      </c>
      <c r="G27" s="60" t="n">
        <v>24.2944</v>
      </c>
      <c r="H27" s="60" t="n">
        <v>25.5561</v>
      </c>
      <c r="I27" s="95" t="n">
        <v>0.07770000000000001</v>
      </c>
    </row>
    <row r="28" ht="27" customHeight="1">
      <c r="B28" s="93" t="n">
        <v>9000697761</v>
      </c>
      <c r="C28" s="93" t="inlineStr">
        <is>
          <t>01.10.U528062</t>
        </is>
      </c>
      <c r="D28" s="61" t="n"/>
      <c r="E28" s="94" t="n">
        <v>154</v>
      </c>
      <c r="F28" s="60" t="n">
        <v>7788.7</v>
      </c>
      <c r="G28" s="60" t="n">
        <v>617.7907</v>
      </c>
      <c r="H28" s="60" t="n">
        <v>658.0814</v>
      </c>
      <c r="I28" s="95" t="n">
        <v>2.0564</v>
      </c>
    </row>
    <row r="29" ht="27" customHeight="1">
      <c r="B29" s="93" t="n">
        <v>9000697761</v>
      </c>
      <c r="C29" s="93" t="inlineStr">
        <is>
          <t>01.10.U528062</t>
        </is>
      </c>
      <c r="D29" s="61" t="n"/>
      <c r="E29" s="94" t="n">
        <v>18</v>
      </c>
      <c r="F29" s="60" t="n">
        <v>711.1</v>
      </c>
      <c r="G29" s="60" t="n">
        <v>72.2093</v>
      </c>
      <c r="H29" s="60" t="n">
        <v>76.9186</v>
      </c>
      <c r="I29" s="95" t="n">
        <v>0.2404</v>
      </c>
    </row>
    <row r="30" ht="27" customHeight="1">
      <c r="B30" s="93" t="n">
        <v>9000697761</v>
      </c>
      <c r="C30" s="93" t="inlineStr">
        <is>
          <t>01.10.U528062</t>
        </is>
      </c>
      <c r="D30" s="61" t="n"/>
      <c r="E30" s="94" t="n">
        <v>195</v>
      </c>
      <c r="F30" s="60" t="n">
        <v>10033.3</v>
      </c>
      <c r="G30" s="60" t="n">
        <v>814.5</v>
      </c>
      <c r="H30" s="60" t="n">
        <v>859.5</v>
      </c>
      <c r="I30" s="95" t="n">
        <v>2.376</v>
      </c>
    </row>
    <row r="31" ht="27" customHeight="1">
      <c r="B31" s="93" t="n">
        <v>9000697761</v>
      </c>
      <c r="C31" s="93" t="inlineStr">
        <is>
          <t>01.10.U528062</t>
        </is>
      </c>
      <c r="D31" s="61" t="n"/>
      <c r="E31" s="94" t="n">
        <v>200</v>
      </c>
      <c r="F31" s="60" t="n">
        <v>10334.8</v>
      </c>
      <c r="G31" s="60" t="n">
        <v>740.5286</v>
      </c>
      <c r="H31" s="60" t="n">
        <v>780.1762</v>
      </c>
      <c r="I31" s="95" t="n">
        <v>2.2678</v>
      </c>
    </row>
    <row r="32" ht="27" customHeight="1">
      <c r="B32" s="93" t="n">
        <v>9000699450</v>
      </c>
      <c r="C32" s="93" t="inlineStr">
        <is>
          <t>01.10.U528062</t>
        </is>
      </c>
      <c r="D32" s="61" t="n"/>
      <c r="E32" s="94" t="n">
        <v>27</v>
      </c>
      <c r="F32" s="60" t="n">
        <v>1065.4</v>
      </c>
      <c r="G32" s="60" t="n">
        <v>99.9714</v>
      </c>
      <c r="H32" s="60" t="n">
        <v>105.3238</v>
      </c>
      <c r="I32" s="95" t="n">
        <v>0.3062</v>
      </c>
    </row>
    <row r="33" ht="27" customHeight="1">
      <c r="B33" s="93" t="n">
        <v>9000699450</v>
      </c>
      <c r="C33" s="93" t="inlineStr">
        <is>
          <t>01.10.U528062</t>
        </is>
      </c>
      <c r="D33" s="61" t="n"/>
      <c r="E33" s="94" t="n">
        <v>169</v>
      </c>
      <c r="F33" s="60" t="n">
        <v>8660.5</v>
      </c>
      <c r="G33" s="60" t="n">
        <v>693.3828999999999</v>
      </c>
      <c r="H33" s="60" t="n">
        <v>736.84</v>
      </c>
      <c r="I33" s="95" t="n">
        <v>2.2181</v>
      </c>
    </row>
    <row r="34" ht="27" customHeight="1">
      <c r="B34" s="93" t="n">
        <v>9000699450</v>
      </c>
      <c r="C34" s="93" t="inlineStr">
        <is>
          <t>01.10.U528062</t>
        </is>
      </c>
      <c r="D34" s="61" t="n"/>
      <c r="E34" s="94" t="n">
        <v>6</v>
      </c>
      <c r="F34" s="60" t="n">
        <v>236</v>
      </c>
      <c r="G34" s="60" t="n">
        <v>24.6171</v>
      </c>
      <c r="H34" s="60" t="n">
        <v>26.16</v>
      </c>
      <c r="I34" s="95" t="n">
        <v>0.07870000000000001</v>
      </c>
    </row>
    <row r="35" ht="27" customHeight="1">
      <c r="B35" s="93" t="n">
        <v>9000699450</v>
      </c>
      <c r="C35" s="93" t="inlineStr">
        <is>
          <t>01.10.U528062</t>
        </is>
      </c>
      <c r="D35" s="61" t="n"/>
      <c r="E35" s="94" t="n">
        <v>195</v>
      </c>
      <c r="F35" s="60" t="n">
        <v>10057.4</v>
      </c>
      <c r="G35" s="60" t="n">
        <v>814.5</v>
      </c>
      <c r="H35" s="60" t="n">
        <v>859.5</v>
      </c>
      <c r="I35" s="95" t="n">
        <v>2.376</v>
      </c>
    </row>
    <row r="36" ht="27" customHeight="1">
      <c r="B36" s="93" t="n">
        <v>9000699450</v>
      </c>
      <c r="C36" s="93" t="inlineStr">
        <is>
          <t>01.10.U528073</t>
        </is>
      </c>
      <c r="D36" s="61" t="n"/>
      <c r="E36" s="94" t="n">
        <v>195</v>
      </c>
      <c r="F36" s="60" t="n">
        <v>10176.8</v>
      </c>
      <c r="G36" s="60" t="n">
        <v>830.5</v>
      </c>
      <c r="H36" s="60" t="n">
        <v>875.5</v>
      </c>
      <c r="I36" s="95" t="n">
        <v>2.6136</v>
      </c>
    </row>
    <row r="37" ht="27" customHeight="1">
      <c r="B37" s="93" t="n">
        <v>9000699450</v>
      </c>
      <c r="C37" s="93" t="inlineStr">
        <is>
          <t>01.10.U528073</t>
        </is>
      </c>
      <c r="D37" s="61" t="n"/>
      <c r="E37" s="94" t="n">
        <v>215</v>
      </c>
      <c r="F37" s="60" t="n">
        <v>11117</v>
      </c>
      <c r="G37" s="60" t="n">
        <v>901.5</v>
      </c>
      <c r="H37" s="60" t="n">
        <v>946.5</v>
      </c>
      <c r="I37" s="95" t="n">
        <v>2.97</v>
      </c>
    </row>
    <row r="38" ht="27" customHeight="1">
      <c r="B38" s="93" t="n">
        <v>9000699450</v>
      </c>
      <c r="C38" s="93" t="inlineStr">
        <is>
          <t>01.10.U528073</t>
        </is>
      </c>
      <c r="D38" s="61" t="n"/>
      <c r="E38" s="94" t="n">
        <v>215</v>
      </c>
      <c r="F38" s="60" t="n">
        <v>11227</v>
      </c>
      <c r="G38" s="60" t="n">
        <v>918</v>
      </c>
      <c r="H38" s="60" t="n">
        <v>963</v>
      </c>
      <c r="I38" s="95" t="n">
        <v>2.6136</v>
      </c>
    </row>
    <row r="39" ht="27" customHeight="1">
      <c r="B39" s="93" t="n">
        <v>9000699450</v>
      </c>
      <c r="C39" s="93" t="inlineStr">
        <is>
          <t>01.10.U528073</t>
        </is>
      </c>
      <c r="D39" s="61" t="n"/>
      <c r="E39" s="94" t="n">
        <v>192</v>
      </c>
      <c r="F39" s="60" t="n">
        <v>9879.4</v>
      </c>
      <c r="G39" s="60" t="n">
        <v>795.0291</v>
      </c>
      <c r="H39" s="60" t="n">
        <v>836.9709</v>
      </c>
      <c r="I39" s="95" t="n">
        <v>2.4729</v>
      </c>
    </row>
    <row r="40" ht="27" customHeight="1">
      <c r="B40" s="93" t="n">
        <v>9000699450</v>
      </c>
      <c r="C40" s="93" t="inlineStr">
        <is>
          <t>01.10.U528073</t>
        </is>
      </c>
      <c r="D40" s="61" t="n"/>
      <c r="E40" s="94" t="n">
        <v>14</v>
      </c>
      <c r="F40" s="60" t="n">
        <v>561</v>
      </c>
      <c r="G40" s="60" t="n">
        <v>57.9709</v>
      </c>
      <c r="H40" s="60" t="n">
        <v>61.0291</v>
      </c>
      <c r="I40" s="95" t="n">
        <v>0.1803</v>
      </c>
    </row>
    <row r="41" ht="27" customHeight="1">
      <c r="B41" s="93" t="n">
        <v>9000699450</v>
      </c>
      <c r="C41" s="93" t="inlineStr">
        <is>
          <t>01.10.U528073</t>
        </is>
      </c>
      <c r="D41" s="61" t="n"/>
      <c r="E41" s="94" t="n">
        <v>97</v>
      </c>
      <c r="F41" s="60" t="n">
        <v>5016.1</v>
      </c>
      <c r="G41" s="60" t="n">
        <v>408</v>
      </c>
      <c r="H41" s="60" t="n">
        <v>453</v>
      </c>
      <c r="I41" s="95" t="n">
        <v>1.782</v>
      </c>
    </row>
    <row r="42" ht="27" customHeight="1">
      <c r="B42" s="93" t="n">
        <v>9000699450</v>
      </c>
      <c r="C42" s="93" t="inlineStr">
        <is>
          <t>01.10.U528073</t>
        </is>
      </c>
      <c r="D42" s="61" t="n"/>
      <c r="E42" s="94" t="n">
        <v>97</v>
      </c>
      <c r="F42" s="60" t="n">
        <v>5022.5</v>
      </c>
      <c r="G42" s="60" t="n">
        <v>407</v>
      </c>
      <c r="H42" s="60" t="n">
        <v>452</v>
      </c>
      <c r="I42" s="95" t="n">
        <v>1.8216</v>
      </c>
    </row>
    <row r="43" ht="27" customHeight="1">
      <c r="B43" s="93" t="n">
        <v>9000699450</v>
      </c>
      <c r="C43" s="93" t="inlineStr">
        <is>
          <t>01.10.U528073</t>
        </is>
      </c>
      <c r="D43" s="61" t="n"/>
      <c r="E43" s="94" t="n">
        <v>184</v>
      </c>
      <c r="F43" s="60" t="n">
        <v>9583.5</v>
      </c>
      <c r="G43" s="60" t="n">
        <v>773.7684</v>
      </c>
      <c r="H43" s="60" t="n">
        <v>817.3474</v>
      </c>
      <c r="I43" s="95" t="n">
        <v>2.6461</v>
      </c>
    </row>
    <row r="44" ht="27" customHeight="1">
      <c r="B44" s="93" t="n">
        <v>9000699450</v>
      </c>
      <c r="C44" s="93" t="inlineStr">
        <is>
          <t>01.10.U528073</t>
        </is>
      </c>
      <c r="D44" s="61" t="n"/>
      <c r="E44" s="94" t="n">
        <v>6</v>
      </c>
      <c r="F44" s="60" t="n">
        <v>237.8</v>
      </c>
      <c r="G44" s="60" t="n">
        <v>25.2316</v>
      </c>
      <c r="H44" s="60" t="n">
        <v>26.6526</v>
      </c>
      <c r="I44" s="95" t="n">
        <v>0.0863</v>
      </c>
    </row>
    <row r="45" ht="27" customHeight="1">
      <c r="B45" s="93" t="n">
        <v>9000699450</v>
      </c>
      <c r="C45" s="93" t="inlineStr">
        <is>
          <t>01.10.U528073</t>
        </is>
      </c>
      <c r="D45" s="61" t="n"/>
      <c r="E45" s="94" t="n">
        <v>185</v>
      </c>
      <c r="F45" s="60" t="n">
        <v>9782.9</v>
      </c>
      <c r="G45" s="60" t="n">
        <v>786.25</v>
      </c>
      <c r="H45" s="60" t="n">
        <v>830.0658</v>
      </c>
      <c r="I45" s="95" t="n">
        <v>2.5063</v>
      </c>
    </row>
    <row r="46" ht="27" customHeight="1">
      <c r="B46" s="93" t="n">
        <v>9000699450</v>
      </c>
      <c r="C46" s="93" t="inlineStr">
        <is>
          <t>01.10.U528073</t>
        </is>
      </c>
      <c r="D46" s="61" t="n"/>
      <c r="E46" s="94" t="n">
        <v>5</v>
      </c>
      <c r="F46" s="60" t="n">
        <v>199</v>
      </c>
      <c r="G46" s="60" t="n">
        <v>21.25</v>
      </c>
      <c r="H46" s="60" t="n">
        <v>22.4342</v>
      </c>
      <c r="I46" s="95" t="n">
        <v>0.0677</v>
      </c>
    </row>
    <row r="47" ht="27" customHeight="1">
      <c r="B47" s="93" t="n">
        <v>9000699450</v>
      </c>
      <c r="C47" s="93" t="inlineStr">
        <is>
          <t>01.10.U528073</t>
        </is>
      </c>
      <c r="D47" s="61" t="n"/>
      <c r="E47" s="94" t="n">
        <v>190</v>
      </c>
      <c r="F47" s="60" t="n">
        <v>10009.4</v>
      </c>
      <c r="G47" s="60" t="n">
        <v>824</v>
      </c>
      <c r="H47" s="60" t="n">
        <v>869</v>
      </c>
      <c r="I47" s="95" t="n">
        <v>2.574</v>
      </c>
    </row>
    <row r="48" ht="27" customHeight="1">
      <c r="B48" s="93" t="n">
        <v>9000699450</v>
      </c>
      <c r="C48" s="93" t="inlineStr">
        <is>
          <t>01.10.U528073</t>
        </is>
      </c>
      <c r="D48" s="61" t="n"/>
      <c r="E48" s="94" t="n">
        <v>195</v>
      </c>
      <c r="F48" s="60" t="n">
        <v>10072.6</v>
      </c>
      <c r="G48" s="60" t="n">
        <v>821</v>
      </c>
      <c r="H48" s="60" t="n">
        <v>866</v>
      </c>
      <c r="I48" s="95" t="n">
        <v>2.574</v>
      </c>
    </row>
    <row r="49" ht="27" customHeight="1">
      <c r="B49" s="93" t="n">
        <v>9000699450</v>
      </c>
      <c r="C49" s="93" t="inlineStr">
        <is>
          <t>01.10.U528073</t>
        </is>
      </c>
      <c r="D49" s="61" t="n"/>
      <c r="E49" s="94" t="n">
        <v>195</v>
      </c>
      <c r="F49" s="60" t="n">
        <v>10117.1</v>
      </c>
      <c r="G49" s="60" t="n">
        <v>825.5</v>
      </c>
      <c r="H49" s="60" t="n">
        <v>870.5</v>
      </c>
      <c r="I49" s="95" t="n">
        <v>2.4948</v>
      </c>
    </row>
    <row r="50" ht="27" customHeight="1">
      <c r="B50" s="93" t="n">
        <v>9000699450</v>
      </c>
      <c r="C50" s="93" t="inlineStr">
        <is>
          <t>01.10.U528073</t>
        </is>
      </c>
      <c r="D50" s="61" t="n"/>
      <c r="E50" s="94" t="n">
        <v>89</v>
      </c>
      <c r="F50" s="60" t="n">
        <v>4707.4</v>
      </c>
      <c r="G50" s="60" t="n">
        <v>376.5385</v>
      </c>
      <c r="H50" s="60" t="n">
        <v>415.0481</v>
      </c>
      <c r="I50" s="95" t="n">
        <v>1.4572</v>
      </c>
    </row>
    <row r="51" ht="27" customHeight="1">
      <c r="B51" s="93" t="n">
        <v>9000699450</v>
      </c>
      <c r="C51" s="93" t="inlineStr">
        <is>
          <t>01.10.U528073</t>
        </is>
      </c>
      <c r="D51" s="61" t="n"/>
      <c r="E51" s="94" t="n">
        <v>8</v>
      </c>
      <c r="F51" s="60" t="n">
        <v>322.8</v>
      </c>
      <c r="G51" s="60" t="n">
        <v>33.8462</v>
      </c>
      <c r="H51" s="60" t="n">
        <v>37.3077</v>
      </c>
      <c r="I51" s="95" t="n">
        <v>0.131</v>
      </c>
    </row>
    <row r="52" ht="27" customHeight="1">
      <c r="B52" s="93" t="n">
        <v>9000699450</v>
      </c>
      <c r="C52" s="93" t="inlineStr">
        <is>
          <t>01.10.U528073</t>
        </is>
      </c>
      <c r="D52" s="62" t="n"/>
      <c r="E52" s="94" t="n">
        <v>7</v>
      </c>
      <c r="F52" s="60" t="n">
        <v>367.3</v>
      </c>
      <c r="G52" s="60" t="n">
        <v>29.6154</v>
      </c>
      <c r="H52" s="60" t="n">
        <v>32.6442</v>
      </c>
      <c r="I52" s="95" t="n">
        <v>0.1146</v>
      </c>
    </row>
    <row r="53" ht="27" customHeight="1">
      <c r="A53" s="96" t="n"/>
      <c r="B53" s="55" t="inlineStr">
        <is>
          <t>LEATHER (HS.CODE: 4107.12.00)</t>
        </is>
      </c>
      <c r="C53" s="55" t="n"/>
      <c r="D53" s="55" t="n"/>
      <c r="E53" s="91" t="n"/>
      <c r="F53" s="56" t="n"/>
      <c r="G53" s="56" t="n"/>
      <c r="H53" s="56" t="n"/>
      <c r="I53" s="90" t="n"/>
    </row>
    <row r="54" ht="27" customHeight="1">
      <c r="A54" s="55" t="n"/>
      <c r="B54" s="55" t="inlineStr">
        <is>
          <t>TOTAL:</t>
        </is>
      </c>
      <c r="C54" s="55" t="inlineStr">
        <is>
          <t>20 PALLETS</t>
        </is>
      </c>
      <c r="D54" s="55" t="n"/>
      <c r="E54" s="91">
        <f>SUM(E23:E52)</f>
        <v/>
      </c>
      <c r="F54" s="56">
        <f>SUM(F23:F52)</f>
        <v/>
      </c>
      <c r="G54" s="56">
        <f>SUM(G23:G52)</f>
        <v/>
      </c>
      <c r="H54" s="56">
        <f>SUM(H23:H52)</f>
        <v/>
      </c>
      <c r="I54" s="90">
        <f>SUM(I23:I52)</f>
        <v/>
      </c>
    </row>
    <row r="56" ht="27" customHeight="1">
      <c r="A56" s="55" t="inlineStr">
        <is>
          <t>Mark &amp; Nº</t>
        </is>
      </c>
      <c r="B56" s="55" t="inlineStr">
        <is>
          <t>P.O Nº</t>
        </is>
      </c>
      <c r="C56" s="55" t="inlineStr">
        <is>
          <t>ITEM Nº</t>
        </is>
      </c>
      <c r="D56" s="55" t="inlineStr">
        <is>
          <t>Description</t>
        </is>
      </c>
      <c r="E56" s="55" t="inlineStr">
        <is>
          <t>Quantity(SF)</t>
        </is>
      </c>
      <c r="F56" s="89" t="n"/>
      <c r="G56" s="56" t="inlineStr">
        <is>
          <t>N.W (kgs)</t>
        </is>
      </c>
      <c r="H56" s="56" t="inlineStr">
        <is>
          <t>G.W (kgs)</t>
        </is>
      </c>
      <c r="I56" s="90" t="inlineStr">
        <is>
          <t>CBM</t>
        </is>
      </c>
    </row>
    <row r="57" ht="27" customHeight="1">
      <c r="A57" s="62" t="n"/>
      <c r="B57" s="62" t="n"/>
      <c r="C57" s="62" t="n"/>
      <c r="D57" s="62" t="n"/>
      <c r="E57" s="91" t="inlineStr">
        <is>
          <t>PCS</t>
        </is>
      </c>
      <c r="F57" s="56" t="inlineStr">
        <is>
          <t>SF</t>
        </is>
      </c>
      <c r="G57" s="62" t="n"/>
      <c r="H57" s="62" t="n"/>
      <c r="I57" s="62" t="n"/>
    </row>
    <row r="58" ht="27" customHeight="1">
      <c r="A58" s="92" t="inlineStr">
        <is>
          <t>VENDOR#:</t>
        </is>
      </c>
      <c r="B58" s="93" t="n">
        <v>9000701604</v>
      </c>
      <c r="C58" s="93" t="inlineStr">
        <is>
          <t>01.10.U528073</t>
        </is>
      </c>
      <c r="D58" s="59" t="inlineStr">
        <is>
          <t>LEATHER</t>
        </is>
      </c>
      <c r="E58" s="94" t="n">
        <v>195</v>
      </c>
      <c r="F58" s="60" t="n">
        <v>10187.1</v>
      </c>
      <c r="G58" s="60" t="n">
        <v>842.5</v>
      </c>
      <c r="H58" s="60" t="n">
        <v>887.5</v>
      </c>
      <c r="I58" s="95" t="n">
        <v>2.6532</v>
      </c>
    </row>
    <row r="59" ht="27" customHeight="1">
      <c r="A59" s="92" t="inlineStr">
        <is>
          <t>Des: LEATHER</t>
        </is>
      </c>
      <c r="B59" s="93" t="n">
        <v>9000701604</v>
      </c>
      <c r="C59" s="93" t="inlineStr">
        <is>
          <t>01.10.U528073</t>
        </is>
      </c>
      <c r="D59" s="61" t="n"/>
      <c r="E59" s="94" t="n">
        <v>195</v>
      </c>
      <c r="F59" s="60" t="n">
        <v>10219.2</v>
      </c>
      <c r="G59" s="60" t="n">
        <v>846</v>
      </c>
      <c r="H59" s="60" t="n">
        <v>891</v>
      </c>
      <c r="I59" s="95" t="n">
        <v>2.4948</v>
      </c>
    </row>
    <row r="60" ht="27" customHeight="1">
      <c r="A60" s="92" t="inlineStr">
        <is>
          <t>Case Qty:</t>
        </is>
      </c>
      <c r="B60" s="93" t="n">
        <v>9000701604</v>
      </c>
      <c r="C60" s="93" t="inlineStr">
        <is>
          <t>01.10.U528073</t>
        </is>
      </c>
      <c r="D60" s="61" t="n"/>
      <c r="E60" s="94" t="n">
        <v>207</v>
      </c>
      <c r="F60" s="60" t="n">
        <v>10773.3</v>
      </c>
      <c r="G60" s="60" t="n">
        <v>883.7671</v>
      </c>
      <c r="H60" s="60" t="n">
        <v>926.3013999999999</v>
      </c>
      <c r="I60" s="95" t="n">
        <v>2.8447</v>
      </c>
    </row>
    <row r="61" ht="27" customHeight="1">
      <c r="A61" s="92" t="inlineStr">
        <is>
          <t>MADE IN CAMBODIA</t>
        </is>
      </c>
      <c r="B61" s="93" t="n">
        <v>9000701604</v>
      </c>
      <c r="C61" s="93" t="inlineStr">
        <is>
          <t>01.10.U528073</t>
        </is>
      </c>
      <c r="D61" s="61" t="n"/>
      <c r="E61" s="94" t="n">
        <v>12</v>
      </c>
      <c r="F61" s="60" t="n">
        <v>479.1</v>
      </c>
      <c r="G61" s="60" t="n">
        <v>51.2329</v>
      </c>
      <c r="H61" s="60" t="n">
        <v>53.6986</v>
      </c>
      <c r="I61" s="95" t="n">
        <v>0.1649</v>
      </c>
    </row>
    <row r="62" ht="27" customHeight="1">
      <c r="B62" s="93" t="n">
        <v>9000701604</v>
      </c>
      <c r="C62" s="93" t="inlineStr">
        <is>
          <t>01.10.U528073</t>
        </is>
      </c>
      <c r="D62" s="61" t="n"/>
      <c r="E62" s="94" t="n">
        <v>195</v>
      </c>
      <c r="F62" s="60" t="n">
        <v>10215.8</v>
      </c>
      <c r="G62" s="60" t="n">
        <v>840</v>
      </c>
      <c r="H62" s="60" t="n">
        <v>885</v>
      </c>
      <c r="I62" s="95" t="n">
        <v>2.6136</v>
      </c>
    </row>
    <row r="63" ht="27" customHeight="1">
      <c r="B63" s="93" t="n">
        <v>9000701604</v>
      </c>
      <c r="C63" s="93" t="inlineStr">
        <is>
          <t>01.10.U528073</t>
        </is>
      </c>
      <c r="D63" s="61" t="n"/>
      <c r="E63" s="94" t="n">
        <v>195</v>
      </c>
      <c r="F63" s="60" t="n">
        <v>10237.5</v>
      </c>
      <c r="G63" s="60" t="n">
        <v>863.5</v>
      </c>
      <c r="H63" s="60" t="n">
        <v>908.5</v>
      </c>
      <c r="I63" s="95" t="n">
        <v>2.6928</v>
      </c>
    </row>
    <row r="64" ht="27" customHeight="1">
      <c r="B64" s="93" t="n">
        <v>9000701604</v>
      </c>
      <c r="C64" s="93" t="inlineStr">
        <is>
          <t>01.10.U528073</t>
        </is>
      </c>
      <c r="D64" s="61" t="n"/>
      <c r="E64" s="94" t="n">
        <v>195</v>
      </c>
      <c r="F64" s="60" t="n">
        <v>10196.1</v>
      </c>
      <c r="G64" s="60" t="n">
        <v>849</v>
      </c>
      <c r="H64" s="60" t="n">
        <v>894</v>
      </c>
      <c r="I64" s="95" t="n">
        <v>2.6136</v>
      </c>
    </row>
    <row r="65" ht="27" customHeight="1">
      <c r="B65" s="93" t="n">
        <v>9000701604</v>
      </c>
      <c r="C65" s="93" t="inlineStr">
        <is>
          <t>01.10.U528073</t>
        </is>
      </c>
      <c r="D65" s="61" t="n"/>
      <c r="E65" s="94" t="n">
        <v>175</v>
      </c>
      <c r="F65" s="60" t="n">
        <v>9097.6</v>
      </c>
      <c r="G65" s="60" t="n">
        <v>739.443</v>
      </c>
      <c r="H65" s="60" t="n">
        <v>780.2461</v>
      </c>
      <c r="I65" s="95" t="n">
        <v>2.3339</v>
      </c>
    </row>
    <row r="66" ht="27" customHeight="1">
      <c r="B66" s="93" t="n">
        <v>9000701604</v>
      </c>
      <c r="C66" s="93" t="inlineStr">
        <is>
          <t>01.10.U528073</t>
        </is>
      </c>
      <c r="D66" s="61" t="n"/>
      <c r="E66" s="94" t="n">
        <v>18</v>
      </c>
      <c r="F66" s="60" t="n">
        <v>726</v>
      </c>
      <c r="G66" s="60" t="n">
        <v>76.057</v>
      </c>
      <c r="H66" s="60" t="n">
        <v>80.2539</v>
      </c>
      <c r="I66" s="95" t="n">
        <v>0.2401</v>
      </c>
    </row>
    <row r="67" ht="27" customHeight="1">
      <c r="B67" s="93" t="n">
        <v>9000701604</v>
      </c>
      <c r="C67" s="93" t="inlineStr">
        <is>
          <t>01.10.U528073</t>
        </is>
      </c>
      <c r="D67" s="61" t="n"/>
      <c r="E67" s="94" t="n">
        <v>195</v>
      </c>
      <c r="F67" s="60" t="n">
        <v>10110.4</v>
      </c>
      <c r="G67" s="60" t="n">
        <v>840</v>
      </c>
      <c r="H67" s="60" t="n">
        <v>885</v>
      </c>
      <c r="I67" s="95" t="n">
        <v>2.574</v>
      </c>
    </row>
    <row r="68" ht="27" customHeight="1">
      <c r="B68" s="93" t="n">
        <v>9000701604</v>
      </c>
      <c r="C68" s="93" t="inlineStr">
        <is>
          <t>01.10.U528073</t>
        </is>
      </c>
      <c r="D68" s="61" t="n"/>
      <c r="E68" s="94" t="n">
        <v>195</v>
      </c>
      <c r="F68" s="60" t="n">
        <v>10165.7</v>
      </c>
      <c r="G68" s="60" t="n">
        <v>844.5</v>
      </c>
      <c r="H68" s="60" t="n">
        <v>889.5</v>
      </c>
      <c r="I68" s="95" t="n">
        <v>2.772</v>
      </c>
    </row>
    <row r="69" ht="27" customHeight="1">
      <c r="B69" s="93" t="n">
        <v>9000701604</v>
      </c>
      <c r="C69" s="93" t="inlineStr">
        <is>
          <t>01.10.U528073</t>
        </is>
      </c>
      <c r="D69" s="61" t="n"/>
      <c r="E69" s="94" t="n">
        <v>195</v>
      </c>
      <c r="F69" s="60" t="n">
        <v>10222.1</v>
      </c>
      <c r="G69" s="60" t="n">
        <v>843</v>
      </c>
      <c r="H69" s="60" t="n">
        <v>888</v>
      </c>
      <c r="I69" s="95" t="n">
        <v>2.6136</v>
      </c>
    </row>
    <row r="70" ht="27" customHeight="1">
      <c r="B70" s="93" t="inlineStr">
        <is>
          <t>9000678672</t>
        </is>
      </c>
      <c r="C70" s="93" t="inlineStr">
        <is>
          <t>01.10.L2924</t>
        </is>
      </c>
      <c r="D70" s="61" t="n"/>
      <c r="E70" s="94" t="n">
        <v>106</v>
      </c>
      <c r="F70" s="60" t="n">
        <v>5345</v>
      </c>
      <c r="G70" s="60" t="n">
        <v>381.211</v>
      </c>
      <c r="H70" s="60" t="n">
        <v>424.9725</v>
      </c>
      <c r="I70" s="95" t="n">
        <v>2.0795</v>
      </c>
    </row>
    <row r="71" ht="27" customHeight="1">
      <c r="B71" s="93" t="inlineStr">
        <is>
          <t>9000678672</t>
        </is>
      </c>
      <c r="C71" s="93" t="inlineStr">
        <is>
          <t>01.10.L2924</t>
        </is>
      </c>
      <c r="D71" s="62" t="n"/>
      <c r="E71" s="94" t="n">
        <v>3</v>
      </c>
      <c r="F71" s="60" t="n">
        <v>121</v>
      </c>
      <c r="G71" s="60" t="n">
        <v>10.789</v>
      </c>
      <c r="H71" s="60" t="n">
        <v>12.0275</v>
      </c>
      <c r="I71" s="95" t="n">
        <v>0.0589</v>
      </c>
    </row>
    <row r="72" ht="27" customHeight="1">
      <c r="A72" s="96" t="n"/>
      <c r="B72" s="55" t="inlineStr">
        <is>
          <t>LEATHER (HS.CODE: 4107.12.00)</t>
        </is>
      </c>
      <c r="C72" s="55" t="n"/>
      <c r="D72" s="55" t="n"/>
      <c r="E72" s="91" t="n"/>
      <c r="F72" s="56" t="n"/>
      <c r="G72" s="56" t="n"/>
      <c r="H72" s="56" t="n"/>
      <c r="I72" s="90" t="n"/>
    </row>
    <row r="73" ht="27" customHeight="1">
      <c r="A73" s="55" t="n"/>
      <c r="B73" s="55" t="inlineStr">
        <is>
          <t>TOTAL:</t>
        </is>
      </c>
      <c r="C73" s="55" t="inlineStr">
        <is>
          <t>11 PALLETS</t>
        </is>
      </c>
      <c r="D73" s="55" t="n"/>
      <c r="E73" s="91">
        <f>SUM(E58:E71)</f>
        <v/>
      </c>
      <c r="F73" s="56">
        <f>SUM(F58:F71)</f>
        <v/>
      </c>
      <c r="G73" s="56">
        <f>SUM(G58:G71)</f>
        <v/>
      </c>
      <c r="H73" s="56">
        <f>SUM(H58:H71)</f>
        <v/>
      </c>
      <c r="I73" s="90">
        <f>SUM(I58:I71)</f>
        <v/>
      </c>
    </row>
    <row r="74" ht="27" customHeight="1">
      <c r="A74" s="97" t="n"/>
      <c r="B74" s="97" t="inlineStr">
        <is>
          <t>TOTAL OF:</t>
        </is>
      </c>
      <c r="C74" s="97" t="inlineStr">
        <is>
          <t>31 PALLETS</t>
        </is>
      </c>
      <c r="D74" s="97" t="n"/>
      <c r="E74" s="98">
        <f>SUM(E23:E52,E58:E71)</f>
        <v/>
      </c>
      <c r="F74" s="99">
        <f>SUM(F23:F52,F58:F71)</f>
        <v/>
      </c>
      <c r="G74" s="99">
        <f>SUM(G23:G52,G58:G71)</f>
        <v/>
      </c>
      <c r="H74" s="99">
        <f>SUM(H23:H52,H58:H71)</f>
        <v/>
      </c>
      <c r="I74" s="100">
        <f>SUM(I23:I52,I58:I71)</f>
        <v/>
      </c>
    </row>
    <row r="75" ht="27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27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27" customHeight="1">
      <c r="A77" s="53" t="n"/>
      <c r="B77" s="88" t="n"/>
      <c r="C77" s="2" t="n"/>
      <c r="D77" s="2" t="n"/>
      <c r="E77" s="2" t="n"/>
      <c r="F77" s="2" t="n"/>
      <c r="G77" s="2" t="n"/>
      <c r="H77" s="2" t="n"/>
      <c r="I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27" customHeight="1">
      <c r="A78" s="101" t="inlineStr">
        <is>
          <t>Country of Original Cambodia</t>
        </is>
      </c>
      <c r="B78" s="101" t="n"/>
      <c r="C78" s="101" t="n"/>
      <c r="D78" s="41" t="n"/>
      <c r="E78" s="102" t="n"/>
      <c r="F78" s="26" t="n"/>
      <c r="G78" s="26" t="n"/>
      <c r="H78" s="26" t="n"/>
      <c r="I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65.25" customHeight="1">
      <c r="A79" s="64" t="inlineStr">
        <is>
          <t>Manufacture:</t>
        </is>
      </c>
      <c r="B79" s="103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79" s="104" t="n"/>
      <c r="F79" s="104" t="n"/>
      <c r="G79" s="104" t="n"/>
      <c r="H79" s="26" t="n"/>
      <c r="I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51.75" customHeight="1">
      <c r="A80" s="103" t="inlineStr">
        <is>
          <t>BENEFICIARY BANK：BANK OF CHINA(HONG KONG)LIMITED  PHNOM PENH BRANCH
                                          /BANK OF CHINA PHNOM PENH BRANCH</t>
        </is>
      </c>
      <c r="E80" s="104" t="n"/>
      <c r="F80" s="104" t="n"/>
      <c r="G80" s="104" t="n"/>
      <c r="H80" s="104" t="n"/>
      <c r="I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 ht="27" customHeight="1">
      <c r="A81" s="70" t="inlineStr">
        <is>
          <t>A/C NO:100001100764430</t>
        </is>
      </c>
      <c r="B81" s="70" t="n"/>
      <c r="C81" s="70" t="n"/>
      <c r="D81" s="70" t="n"/>
      <c r="E81" s="50" t="n"/>
      <c r="F81" s="50" t="n"/>
      <c r="G81" s="50" t="n"/>
      <c r="H81" s="50" t="n"/>
      <c r="I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 ht="27" customHeight="1">
      <c r="A82" s="70" t="inlineStr">
        <is>
          <t>SWIFT CODE  ：BKCHKHPPXXX</t>
        </is>
      </c>
      <c r="B82" s="70" t="n"/>
      <c r="C82" s="70" t="n"/>
      <c r="D82" s="70" t="n"/>
      <c r="E82" s="50" t="n"/>
      <c r="F82" s="50" t="n"/>
      <c r="G82" s="50" t="n"/>
      <c r="H82" s="50" t="n"/>
      <c r="I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 ht="27" customHeight="1">
      <c r="A83" s="2" t="n"/>
      <c r="B83" s="105" t="n"/>
      <c r="C83" s="2" t="n"/>
      <c r="D83" s="2" t="n"/>
      <c r="E83" s="52" t="n"/>
      <c r="F83" s="2" t="n"/>
      <c r="G83" s="2" t="n"/>
      <c r="H83" s="26" t="inlineStr">
        <is>
          <t>CALIFOR UPHOLSTERY MATERIALS CO., LTD.</t>
        </is>
      </c>
      <c r="I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  <row r="84" ht="27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</row>
    <row r="85" ht="27" customHeight="1">
      <c r="A85" s="2" t="inlineStr">
        <is>
          <t>A</t>
        </is>
      </c>
      <c r="B85" s="2" t="inlineStr">
        <is>
          <t>B</t>
        </is>
      </c>
      <c r="C85" s="2" t="inlineStr">
        <is>
          <t>C</t>
        </is>
      </c>
      <c r="D85" s="2" t="inlineStr">
        <is>
          <t>D</t>
        </is>
      </c>
      <c r="E85" s="52" t="inlineStr">
        <is>
          <t>E</t>
        </is>
      </c>
      <c r="F85" s="52" t="inlineStr">
        <is>
          <t>F</t>
        </is>
      </c>
      <c r="G85" s="52" t="inlineStr">
        <is>
          <t>G</t>
        </is>
      </c>
      <c r="H85" s="52" t="inlineStr">
        <is>
          <t>H</t>
        </is>
      </c>
      <c r="I85" s="52" t="inlineStr">
        <is>
          <t>I</t>
        </is>
      </c>
      <c r="K85" s="52" t="inlineStr">
        <is>
          <t>J</t>
        </is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</row>
  </sheetData>
  <mergeCells count="31">
    <mergeCell ref="D23:D52"/>
    <mergeCell ref="B74"/>
    <mergeCell ref="B72:C72"/>
    <mergeCell ref="D21:D22"/>
    <mergeCell ref="H56:H57"/>
    <mergeCell ref="H21:H22"/>
    <mergeCell ref="A3:I3"/>
    <mergeCell ref="D58:D71"/>
    <mergeCell ref="A2:I2"/>
    <mergeCell ref="I56:I57"/>
    <mergeCell ref="A5:I5"/>
    <mergeCell ref="A56:A57"/>
    <mergeCell ref="C56:C57"/>
    <mergeCell ref="D56:D57"/>
    <mergeCell ref="C21:C22"/>
    <mergeCell ref="I21:I22"/>
    <mergeCell ref="B54"/>
    <mergeCell ref="A4:I4"/>
    <mergeCell ref="B53:C53"/>
    <mergeCell ref="A21:A22"/>
    <mergeCell ref="B79:D79"/>
    <mergeCell ref="A80:D80"/>
    <mergeCell ref="B73"/>
    <mergeCell ref="G56:G57"/>
    <mergeCell ref="A1:I1"/>
    <mergeCell ref="B56:B57"/>
    <mergeCell ref="G21:G22"/>
    <mergeCell ref="A6:I6"/>
    <mergeCell ref="E56:F5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2025-11-18T04:17:14Z</dcterms:created>
  <dcterms:modified xmlns:dcterms="http://purl.org/dc/terms/" xmlns:xsi="http://www.w3.org/2001/XMLSchema-instance" xsi:type="dcterms:W3CDTF">2025-11-18T04:17:16Z</dcterms:modified>
</cp:coreProperties>
</file>