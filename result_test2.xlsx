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  <xf numFmtId="0" fontId="0" fillId="0" borderId="3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1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JFTIME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JFINV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n">
        <v>140491</v>
      </c>
      <c r="C16" s="18" t="n">
        <v>80284.8</v>
      </c>
      <c r="D16" s="18" t="n">
        <v>0.92</v>
      </c>
      <c r="E16" s="18">
        <f>D16*C16</f>
        <v/>
      </c>
    </row>
    <row r="17" ht="30" customHeight="1">
      <c r="A17" s="17" t="n">
        <v>2</v>
      </c>
      <c r="B17" s="17" t="n">
        <v>140491</v>
      </c>
      <c r="C17" s="18" t="n">
        <v>31079.6</v>
      </c>
      <c r="D17" s="18" t="n">
        <v>0.92</v>
      </c>
      <c r="E17" s="18">
        <f>D17*C17</f>
        <v/>
      </c>
    </row>
    <row r="18" ht="30" customHeight="1">
      <c r="A18" s="17" t="n">
        <v>3</v>
      </c>
      <c r="B18" s="17" t="n">
        <v>140488</v>
      </c>
      <c r="C18" s="18" t="n">
        <v>35739.2</v>
      </c>
      <c r="D18" s="18" t="n">
        <v>0.9</v>
      </c>
      <c r="E18" s="18">
        <f>D18*C18</f>
        <v/>
      </c>
    </row>
    <row r="19" ht="30" customHeight="1">
      <c r="A19" s="17" t="n">
        <v>4</v>
      </c>
      <c r="B19" s="17" t="n">
        <v>140488</v>
      </c>
      <c r="C19" s="18" t="n">
        <v>37456.6</v>
      </c>
      <c r="D19" s="18" t="n">
        <v>0.9</v>
      </c>
      <c r="E19" s="18">
        <f>D19*C19</f>
        <v/>
      </c>
    </row>
    <row r="20" ht="30" customHeight="1">
      <c r="A20" s="17" t="n">
        <v>5</v>
      </c>
      <c r="B20" s="17" t="n">
        <v>140489</v>
      </c>
      <c r="C20" s="18" t="n">
        <v>34748.4</v>
      </c>
      <c r="D20" s="18" t="n">
        <v>0.9</v>
      </c>
      <c r="E20" s="18">
        <f>D20*C20</f>
        <v/>
      </c>
    </row>
    <row r="21" ht="30" customHeight="1">
      <c r="A21" s="17" t="n">
        <v>6</v>
      </c>
      <c r="B21" s="17" t="n">
        <v>140489</v>
      </c>
      <c r="C21" s="18" t="n">
        <v>18571</v>
      </c>
      <c r="D21" s="18" t="n">
        <v>0.9</v>
      </c>
      <c r="E21" s="18">
        <f>D21*C21</f>
        <v/>
      </c>
    </row>
    <row r="22" ht="36" customHeight="1">
      <c r="A22" s="15" t="inlineStr">
        <is>
          <t>TOTAL OF:</t>
        </is>
      </c>
      <c r="B22" s="15" t="inlineStr">
        <is>
          <t>26 PALLETS</t>
        </is>
      </c>
      <c r="C22" s="16">
        <f>SUM(C16:C21)</f>
        <v/>
      </c>
      <c r="D22" s="16" t="n"/>
      <c r="E22" s="16">
        <f>SUM(E16:E21)</f>
        <v/>
      </c>
    </row>
    <row r="23" ht="30" customHeight="1">
      <c r="A23" s="8" t="inlineStr">
        <is>
          <t>Term of Payment: 100% TT after shipment</t>
        </is>
      </c>
      <c r="B23" s="8" t="n"/>
      <c r="C23" s="8" t="n"/>
      <c r="D23" s="8" t="n"/>
      <c r="E23" s="8" t="n"/>
      <c r="F23" s="2" t="n"/>
    </row>
    <row r="24" ht="36" customHeight="1">
      <c r="A24" s="8" t="inlineStr">
        <is>
          <t>Transaction method: DAF(USD)</t>
        </is>
      </c>
      <c r="B24" s="8" t="n"/>
      <c r="C24" s="8" t="n"/>
      <c r="D24" s="8" t="n"/>
      <c r="E24" s="8" t="n"/>
      <c r="F24" s="2" t="n"/>
    </row>
    <row r="25" ht="20.45" customHeight="1">
      <c r="A25" s="8" t="inlineStr">
        <is>
          <t xml:space="preserve">Beneficiary bank information: </t>
        </is>
      </c>
      <c r="B25" s="8" t="n"/>
      <c r="C25" s="8" t="inlineStr">
        <is>
          <t>CALIFOR UPHOLSTERY MATERIALS CO.,LTD.</t>
        </is>
      </c>
      <c r="D25" s="8" t="n"/>
      <c r="E25" s="8" t="n"/>
      <c r="F25" s="2" t="n"/>
    </row>
    <row r="26" ht="45.95" customHeight="1">
      <c r="A26" s="8" t="inlineStr">
        <is>
          <t xml:space="preserve">Beneficiary Bank' s Name: </t>
        </is>
      </c>
      <c r="B26" s="8" t="n"/>
      <c r="C26" s="14" t="inlineStr">
        <is>
          <t>BANK OF CHINA(HONG KONG)LIMITED PHNOM PENH BRANCH
 /BANK OF CHINA PHNOM PENH BRANCH</t>
        </is>
      </c>
      <c r="F26" s="2" t="n"/>
    </row>
    <row r="27" ht="41.1" customHeight="1">
      <c r="A27" s="8" t="inlineStr">
        <is>
          <t xml:space="preserve">Bank Address:  </t>
        </is>
      </c>
      <c r="B27" s="8" t="n"/>
      <c r="C27" s="14" t="inlineStr">
        <is>
          <t>1st AND 2nd FLOOR,CANADIA TOWER,No.315 ANDDUONG ST.
PHNOM PEMH,CAMBODIA.</t>
        </is>
      </c>
      <c r="F27" s="2" t="n"/>
    </row>
    <row r="28" ht="29.1" customHeight="1">
      <c r="A28" s="8" t="inlineStr">
        <is>
          <t>Bank account :</t>
        </is>
      </c>
      <c r="B28" s="8" t="n"/>
      <c r="C28" s="19" t="inlineStr">
        <is>
          <t>100001100764430</t>
        </is>
      </c>
      <c r="F28" s="2" t="n"/>
    </row>
    <row r="29" ht="19.15" customHeight="1">
      <c r="A29" s="8" t="inlineStr">
        <is>
          <t>SWIFT CODE  ：</t>
        </is>
      </c>
      <c r="B29" s="8" t="n"/>
      <c r="C29" s="8" t="inlineStr">
        <is>
          <t>BKCHKHPPXXX</t>
        </is>
      </c>
      <c r="D29" s="8" t="n"/>
      <c r="E29" s="8" t="n"/>
      <c r="F29" s="2" t="n"/>
    </row>
    <row r="30" ht="45.95" customHeight="1">
      <c r="A30" s="8" t="n"/>
      <c r="B30" s="8" t="n"/>
      <c r="C30" s="8" t="n"/>
      <c r="D30" s="8" t="n"/>
      <c r="E30" s="8" t="n"/>
      <c r="F30" s="8" t="n"/>
    </row>
    <row r="31" ht="41.1" customHeight="1">
      <c r="A31" s="20" t="inlineStr">
        <is>
          <t>The Buyer:</t>
        </is>
      </c>
      <c r="B31" s="2" t="n"/>
      <c r="C31" s="2" t="n"/>
      <c r="D31" s="21" t="inlineStr">
        <is>
          <t>The Seller:</t>
        </is>
      </c>
      <c r="E31" s="2" t="n"/>
      <c r="F31" s="2" t="n"/>
    </row>
    <row r="32" ht="29.1" customHeight="1">
      <c r="A32" s="22" t="inlineStr">
        <is>
          <t>JASON FURNITURE VIET NAM COMPANY LIMITED</t>
        </is>
      </c>
      <c r="B32" s="23" t="n"/>
      <c r="C32" s="24" t="n"/>
      <c r="D32" s="22" t="inlineStr">
        <is>
          <t>CALIFOR UPHOLSTERY MATERIALS CO.,LTD.</t>
        </is>
      </c>
      <c r="E32" s="22" t="n"/>
      <c r="F32" s="2" t="n"/>
    </row>
  </sheetData>
  <mergeCells count="8">
    <mergeCell ref="C28:E28"/>
    <mergeCell ref="C27:E27"/>
    <mergeCell ref="A1:E1"/>
    <mergeCell ref="B11:E11"/>
    <mergeCell ref="C26:E26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JFREF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JFINV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JFTIME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PT1ZX94</t>
        </is>
      </c>
      <c r="C22" s="58" t="n">
        <v>140491</v>
      </c>
      <c r="D22" s="59" t="inlineStr">
        <is>
          <t>L LEESWORTH BUFFALO OCEAN U43809</t>
        </is>
      </c>
      <c r="E22" s="60" t="n">
        <v>80284.8</v>
      </c>
      <c r="F22" s="60" t="n">
        <v>0.92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PT22848</t>
        </is>
      </c>
      <c r="C23" s="58" t="n">
        <v>140491</v>
      </c>
      <c r="D23" s="59" t="inlineStr">
        <is>
          <t>L LEESWORTH BUFFALO OCEAN U43809</t>
        </is>
      </c>
      <c r="E23" s="60" t="n">
        <v>31079.6</v>
      </c>
      <c r="F23" s="60" t="n">
        <v>0.92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PT22X29</t>
        </is>
      </c>
      <c r="C24" s="58" t="n">
        <v>140488</v>
      </c>
      <c r="D24" s="59" t="inlineStr">
        <is>
          <t>L MINDANAO BUFFALO COCONUT</t>
        </is>
      </c>
      <c r="E24" s="60" t="n">
        <v>35739.2</v>
      </c>
      <c r="F24" s="60" t="n">
        <v>0.9</v>
      </c>
      <c r="G24" s="60">
        <f>F24*E24</f>
        <v/>
      </c>
    </row>
    <row r="25" ht="35" customHeight="1">
      <c r="B25" s="58" t="inlineStr">
        <is>
          <t>PT22X37</t>
        </is>
      </c>
      <c r="C25" s="58" t="n">
        <v>140488</v>
      </c>
      <c r="D25" s="59" t="inlineStr">
        <is>
          <t>L MINDANAO BUFFALO COCONUT</t>
        </is>
      </c>
      <c r="E25" s="60" t="n">
        <v>37456.6</v>
      </c>
      <c r="F25" s="60" t="n">
        <v>0.9</v>
      </c>
      <c r="G25" s="60">
        <f>F25*E25</f>
        <v/>
      </c>
    </row>
    <row r="26" ht="35" customHeight="1">
      <c r="B26" s="58" t="inlineStr">
        <is>
          <t>PT24G80</t>
        </is>
      </c>
      <c r="C26" s="58" t="n">
        <v>140489</v>
      </c>
      <c r="D26" s="59" t="inlineStr">
        <is>
          <t>L MINDANAO BUFFALO STEELU59504</t>
        </is>
      </c>
      <c r="E26" s="60" t="n">
        <v>34748.4</v>
      </c>
      <c r="F26" s="60" t="n">
        <v>0.9</v>
      </c>
      <c r="G26" s="60">
        <f>F26*E26</f>
        <v/>
      </c>
    </row>
    <row r="27" ht="35" customHeight="1">
      <c r="B27" s="58" t="inlineStr">
        <is>
          <t>PT24G84</t>
        </is>
      </c>
      <c r="C27" s="58" t="n">
        <v>140489</v>
      </c>
      <c r="D27" s="59" t="inlineStr">
        <is>
          <t>L MINDANAO BUFFALO STEELU59504</t>
        </is>
      </c>
      <c r="E27" s="60" t="n">
        <v>18571</v>
      </c>
      <c r="F27" s="60" t="n">
        <v>0.9</v>
      </c>
      <c r="G27" s="60">
        <f>F27*E27</f>
        <v/>
      </c>
    </row>
    <row r="28" ht="35" customHeight="1">
      <c r="A28" s="54" t="n"/>
      <c r="B28" s="54" t="inlineStr">
        <is>
          <t>TOTAL OF:</t>
        </is>
      </c>
      <c r="C28" s="54" t="inlineStr">
        <is>
          <t>26 PALLETS</t>
        </is>
      </c>
      <c r="D28" s="55" t="n"/>
      <c r="E28" s="56">
        <f>SUM(E22:E27)</f>
        <v/>
      </c>
      <c r="F28" s="56" t="n"/>
      <c r="G28" s="56">
        <f>SUM(G22:G27)</f>
        <v/>
      </c>
    </row>
    <row r="29" ht="35" customHeight="1">
      <c r="A29" s="54" t="n"/>
      <c r="B29" s="54" t="inlineStr">
        <is>
          <t>NW(KGS)</t>
        </is>
      </c>
      <c r="C29" s="56" t="n">
        <v>0</v>
      </c>
      <c r="D29" s="55" t="n"/>
      <c r="E29" s="56" t="n"/>
      <c r="F29" s="56" t="n"/>
      <c r="G29" s="56" t="n"/>
    </row>
    <row r="30" ht="35" customHeight="1">
      <c r="A30" s="54" t="n"/>
      <c r="B30" s="54" t="inlineStr">
        <is>
          <t>GW(KGS):</t>
        </is>
      </c>
      <c r="C30" s="56" t="n">
        <v>0</v>
      </c>
      <c r="D30" s="55" t="n"/>
      <c r="E30" s="56" t="n"/>
      <c r="F30" s="56" t="n"/>
      <c r="G30" s="56" t="n"/>
    </row>
    <row r="31" ht="61.5" customHeight="1">
      <c r="A31" s="61" t="inlineStr">
        <is>
          <t>Manufacture:</t>
        </is>
      </c>
      <c r="B31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1" s="62" t="n"/>
      <c r="E31" s="62" t="n"/>
      <c r="F31" s="32" t="n"/>
      <c r="G31" s="26" t="n"/>
      <c r="H31" s="2" t="n"/>
      <c r="I31" s="2" t="n"/>
      <c r="J31" s="2" t="n"/>
      <c r="K31" s="2" t="n"/>
      <c r="L31" s="63" t="n"/>
      <c r="M31" s="64" t="n"/>
      <c r="N31" s="65" t="n"/>
      <c r="O31" s="65" t="n"/>
    </row>
    <row r="32" ht="42" customHeight="1">
      <c r="A32" s="66" t="inlineStr">
        <is>
          <t>BENEFICIARY BANK：BANK OF CHINA(HONG KONG)LIMITED PHNOM PENH BRANCH
                                                  /BANK OF CHINA PHNOM PENH BRANCH</t>
        </is>
      </c>
      <c r="D32" s="66" t="n"/>
      <c r="E32" s="66" t="n"/>
      <c r="F32" s="66" t="n"/>
      <c r="G32" s="26" t="n"/>
      <c r="H32" s="2" t="n"/>
      <c r="I32" s="2" t="n"/>
      <c r="J32" s="2" t="n"/>
      <c r="K32" s="2" t="n"/>
      <c r="L32" s="63" t="n"/>
      <c r="M32" s="64" t="n"/>
      <c r="N32" s="65" t="n"/>
      <c r="O32" s="65" t="n"/>
    </row>
    <row r="33" ht="24.75" customHeight="1">
      <c r="A33" s="67" t="inlineStr">
        <is>
          <t>A/C NO:100001100764430</t>
        </is>
      </c>
      <c r="H33" s="2" t="n"/>
      <c r="I33" s="2" t="n"/>
      <c r="J33" s="2" t="n"/>
      <c r="K33" s="2" t="n"/>
      <c r="L33" s="63" t="n"/>
      <c r="M33" s="64" t="n"/>
      <c r="N33" s="65" t="n"/>
      <c r="O33" s="65" t="n"/>
    </row>
    <row r="34" ht="27" customHeight="1">
      <c r="A34" s="67" t="inlineStr">
        <is>
          <t>SWIFT CODE  ：BKCHKHPPXXX</t>
        </is>
      </c>
      <c r="H34" s="2" t="n"/>
      <c r="I34" s="2" t="n"/>
      <c r="J34" s="2" t="n"/>
      <c r="K34" s="2" t="n"/>
      <c r="L34" s="63" t="n"/>
      <c r="M34" s="64" t="n"/>
      <c r="N34" s="65" t="n"/>
      <c r="O34" s="65" t="n"/>
    </row>
    <row r="35" ht="61.5" customHeight="1">
      <c r="A35" s="2" t="n"/>
      <c r="B35" s="2" t="n"/>
      <c r="C35" s="2" t="n"/>
      <c r="D35" s="2" t="n"/>
      <c r="E35" s="68" t="inlineStr">
        <is>
          <t>CALIFOR UPHOLSTERY MATERIALS CO., LTD.</t>
        </is>
      </c>
      <c r="F35" s="68" t="n"/>
      <c r="G35" s="68" t="n"/>
      <c r="H35" s="68" t="n"/>
      <c r="I35" s="2" t="n"/>
      <c r="J35" s="2" t="n"/>
      <c r="K35" s="2" t="n"/>
      <c r="L35" s="63" t="n"/>
      <c r="M35" s="64" t="n"/>
      <c r="N35" s="65" t="n"/>
      <c r="O35" s="65" t="n"/>
    </row>
    <row r="36" ht="42" customHeight="1">
      <c r="A36" s="2" t="n"/>
      <c r="B36" s="2" t="n"/>
      <c r="C36" s="2" t="n"/>
      <c r="D36" s="69" t="n"/>
      <c r="E36" s="70" t="n"/>
      <c r="F36" s="71" t="inlineStr">
        <is>
          <t>Sign &amp; Stamp</t>
        </is>
      </c>
      <c r="G36" s="72" t="n"/>
      <c r="H36" s="2" t="n"/>
      <c r="I36" s="2" t="n"/>
      <c r="J36" s="2" t="n"/>
      <c r="K36" s="2" t="n"/>
      <c r="L36" s="63" t="n"/>
      <c r="M36" s="64" t="n"/>
      <c r="N36" s="65" t="n"/>
      <c r="O36" s="65" t="n"/>
    </row>
    <row r="37" ht="24.75" customHeight="1">
      <c r="A37" s="2" t="n"/>
      <c r="B37" s="2" t="n"/>
      <c r="C37" s="2" t="n"/>
      <c r="D37" s="69" t="n"/>
      <c r="E37" s="70" t="n"/>
      <c r="F37" s="70" t="n"/>
      <c r="G37" s="72" t="n"/>
      <c r="H37" s="2" t="n"/>
      <c r="I37" s="2" t="n"/>
      <c r="J37" s="2" t="n"/>
      <c r="K37" s="2" t="n"/>
      <c r="L37" s="63" t="n"/>
      <c r="M37" s="64" t="n"/>
      <c r="N37" s="65" t="n"/>
      <c r="O37" s="65" t="n"/>
    </row>
    <row r="38" ht="27" customHeight="1">
      <c r="A38" s="2" t="n"/>
      <c r="B38" s="2" t="n"/>
      <c r="C38" s="2" t="n"/>
      <c r="D38" s="69" t="n"/>
      <c r="E38" s="70" t="n"/>
      <c r="F38" s="70" t="n"/>
      <c r="G38" s="72" t="n"/>
      <c r="H38" s="2" t="n"/>
      <c r="I38" s="2" t="n"/>
      <c r="J38" s="2" t="n"/>
      <c r="K38" s="2" t="n"/>
      <c r="L38" s="63" t="n"/>
      <c r="M38" s="64" t="n"/>
      <c r="N38" s="65" t="n"/>
      <c r="O38" s="65" t="n"/>
    </row>
    <row r="39" ht="21" customHeight="1">
      <c r="A39" s="2" t="n"/>
      <c r="B39" s="2" t="n"/>
      <c r="C39" s="2" t="n"/>
      <c r="D39" s="69" t="n"/>
      <c r="E39" s="70" t="n"/>
      <c r="F39" s="73" t="inlineStr">
        <is>
          <t>ZENG XUELI</t>
        </is>
      </c>
      <c r="G39" s="73" t="n"/>
      <c r="H39" s="2" t="n"/>
      <c r="I39" s="2" t="n"/>
      <c r="J39" s="2" t="n"/>
      <c r="K39" s="2" t="n"/>
      <c r="L39" s="63" t="n"/>
      <c r="M39" s="64" t="n"/>
      <c r="N39" s="65" t="n"/>
      <c r="O39" s="65" t="n"/>
    </row>
  </sheetData>
  <mergeCells count="10">
    <mergeCell ref="A1:G1"/>
    <mergeCell ref="A3:G3"/>
    <mergeCell ref="A6:G6"/>
    <mergeCell ref="A32:C32"/>
    <mergeCell ref="A34:G34"/>
    <mergeCell ref="A4:G4"/>
    <mergeCell ref="A2:G2"/>
    <mergeCell ref="B31:C31"/>
    <mergeCell ref="A33:G33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2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78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79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0" t="inlineStr">
        <is>
          <t>JASON FURNITURE VIET NAM COMPANY LIMITED</t>
        </is>
      </c>
      <c r="C13" s="2" t="n"/>
      <c r="D13" s="2" t="n"/>
      <c r="E13" s="2" t="n"/>
      <c r="F13" s="81" t="n"/>
      <c r="G13" s="81" t="n"/>
      <c r="H13" s="81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2" t="inlineStr">
        <is>
          <t>LOT 37, 38, 39, 40, 41, 44, 50, 51, 54，55, 56，B2 CLUSTER, DONG XOAI III INDUSTRIAL ZONE,</t>
        </is>
      </c>
      <c r="C14" s="47" t="n"/>
      <c r="D14" s="47" t="n"/>
      <c r="E14" s="83" t="n"/>
      <c r="F14" s="83" t="n"/>
      <c r="G14" s="83" t="n"/>
      <c r="H14" s="83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4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5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6" t="n"/>
      <c r="G21" s="56" t="inlineStr">
        <is>
          <t>N.W (kgs)</t>
        </is>
      </c>
      <c r="H21" s="56" t="inlineStr">
        <is>
          <t>G.W (kgs)</t>
        </is>
      </c>
      <c r="I21" s="87" t="inlineStr">
        <is>
          <t>CBM</t>
        </is>
      </c>
    </row>
    <row r="22" ht="27" customHeight="1">
      <c r="A22" s="88" t="n"/>
      <c r="B22" s="88" t="n"/>
      <c r="C22" s="88" t="n"/>
      <c r="D22" s="88" t="n"/>
      <c r="E22" s="89" t="inlineStr">
        <is>
          <t>PCS</t>
        </is>
      </c>
      <c r="F22" s="56" t="inlineStr">
        <is>
          <t>SF</t>
        </is>
      </c>
      <c r="G22" s="88" t="n"/>
      <c r="H22" s="88" t="n"/>
      <c r="I22" s="88" t="n"/>
    </row>
    <row r="23" ht="27" customHeight="1">
      <c r="A23" s="90" t="inlineStr">
        <is>
          <t>VENDOR#:</t>
        </is>
      </c>
      <c r="B23" s="59" t="inlineStr">
        <is>
          <t>PT1ZX94</t>
        </is>
      </c>
      <c r="C23" s="59" t="n">
        <v>140491</v>
      </c>
      <c r="D23" s="59" t="inlineStr">
        <is>
          <t>L LEESWORTH BUFFALO OCEAN U43809</t>
        </is>
      </c>
      <c r="E23" s="91" t="n">
        <v>290</v>
      </c>
      <c r="F23" s="60" t="n">
        <v>11036.9</v>
      </c>
      <c r="G23" s="60" t="n">
        <v>718.5</v>
      </c>
      <c r="H23" s="60" t="n">
        <v>763.5</v>
      </c>
      <c r="I23" s="92" t="n">
        <v>2.574</v>
      </c>
    </row>
    <row r="24" ht="27" customHeight="1">
      <c r="A24" s="90" t="inlineStr">
        <is>
          <t>Des: LEATHER</t>
        </is>
      </c>
      <c r="B24" s="59" t="inlineStr">
        <is>
          <t>PT1ZX94</t>
        </is>
      </c>
      <c r="C24" s="59" t="n">
        <v>140491</v>
      </c>
      <c r="D24" s="59" t="inlineStr">
        <is>
          <t>L LEESWORTH BUFFALO OCEAN U43809</t>
        </is>
      </c>
      <c r="E24" s="91" t="n">
        <v>289</v>
      </c>
      <c r="F24" s="60" t="n">
        <v>11022.9</v>
      </c>
      <c r="G24" s="60" t="n">
        <v>726</v>
      </c>
      <c r="H24" s="60" t="n">
        <v>771</v>
      </c>
      <c r="I24" s="92" t="n">
        <v>2.574</v>
      </c>
    </row>
    <row r="25" ht="27" customHeight="1">
      <c r="A25" s="90" t="inlineStr">
        <is>
          <t>Case Qty:</t>
        </is>
      </c>
      <c r="B25" s="59" t="inlineStr">
        <is>
          <t>PT1ZX94</t>
        </is>
      </c>
      <c r="C25" s="59" t="n">
        <v>140491</v>
      </c>
      <c r="D25" s="59" t="inlineStr">
        <is>
          <t>L LEESWORTH BUFFALO OCEAN U43809</t>
        </is>
      </c>
      <c r="E25" s="91" t="n">
        <v>277</v>
      </c>
      <c r="F25" s="60" t="n">
        <v>10326.1</v>
      </c>
      <c r="G25" s="60" t="n">
        <v>680.5</v>
      </c>
      <c r="H25" s="60" t="n">
        <v>725.5</v>
      </c>
      <c r="I25" s="92" t="n">
        <v>2.574</v>
      </c>
    </row>
    <row r="26" ht="27" customHeight="1">
      <c r="A26" s="90" t="inlineStr">
        <is>
          <t>MADE IN CAMBODIA</t>
        </is>
      </c>
      <c r="B26" s="59" t="inlineStr">
        <is>
          <t>PT1ZX94</t>
        </is>
      </c>
      <c r="C26" s="59" t="n">
        <v>140491</v>
      </c>
      <c r="D26" s="59" t="inlineStr">
        <is>
          <t>L LEESWORTH BUFFALO OCEAN U43809</t>
        </is>
      </c>
      <c r="E26" s="91" t="n">
        <v>145</v>
      </c>
      <c r="F26" s="60" t="n">
        <v>5335.1</v>
      </c>
      <c r="G26" s="60" t="n">
        <v>344.6279</v>
      </c>
      <c r="H26" s="60" t="n">
        <v>374.9767</v>
      </c>
      <c r="I26" s="92" t="n">
        <v>1.3888</v>
      </c>
    </row>
    <row r="27" ht="27" customHeight="1">
      <c r="B27" s="59" t="inlineStr">
        <is>
          <t>PT1ZX94</t>
        </is>
      </c>
      <c r="C27" s="59" t="n">
        <v>140491</v>
      </c>
      <c r="D27" s="59" t="inlineStr">
        <is>
          <t>L LEESWORTH BUFFALO OCEAN U43809</t>
        </is>
      </c>
      <c r="E27" s="91" t="n">
        <v>70</v>
      </c>
      <c r="F27" s="60" t="n">
        <v>2421.4</v>
      </c>
      <c r="G27" s="60" t="n">
        <v>166.3721</v>
      </c>
      <c r="H27" s="60" t="n">
        <v>181.0233</v>
      </c>
      <c r="I27" s="92" t="n">
        <v>0.6704</v>
      </c>
    </row>
    <row r="28" ht="27" customHeight="1">
      <c r="B28" s="59" t="inlineStr">
        <is>
          <t>PT22848</t>
        </is>
      </c>
      <c r="C28" s="59" t="n">
        <v>140491</v>
      </c>
      <c r="D28" s="59" t="inlineStr">
        <is>
          <t>L LEESWORTH BUFFALO OCEAN U43809</t>
        </is>
      </c>
      <c r="E28" s="91" t="n">
        <v>270</v>
      </c>
      <c r="F28" s="60" t="n">
        <v>10179.4</v>
      </c>
      <c r="G28" s="60" t="n">
        <v>668.5</v>
      </c>
      <c r="H28" s="60" t="n">
        <v>713.5</v>
      </c>
      <c r="I28" s="92" t="n">
        <v>2.4948</v>
      </c>
    </row>
    <row r="29" ht="27" customHeight="1">
      <c r="B29" s="59" t="inlineStr">
        <is>
          <t>PT22848</t>
        </is>
      </c>
      <c r="C29" s="59" t="n">
        <v>140491</v>
      </c>
      <c r="D29" s="59" t="inlineStr">
        <is>
          <t>L LEESWORTH BUFFALO OCEAN U43809</t>
        </is>
      </c>
      <c r="E29" s="91" t="n">
        <v>140</v>
      </c>
      <c r="F29" s="60" t="n">
        <v>5360.4</v>
      </c>
      <c r="G29" s="60" t="n">
        <v>351</v>
      </c>
      <c r="H29" s="60" t="n">
        <v>396</v>
      </c>
      <c r="I29" s="92" t="n">
        <v>1.7424</v>
      </c>
    </row>
    <row r="30" ht="27" customHeight="1">
      <c r="B30" s="59" t="inlineStr">
        <is>
          <t>PT22X29</t>
        </is>
      </c>
      <c r="C30" s="59" t="n">
        <v>140488</v>
      </c>
      <c r="D30" s="59" t="inlineStr">
        <is>
          <t>L MINDANAO BUFFALO COCONUT</t>
        </is>
      </c>
      <c r="E30" s="91" t="n">
        <v>171</v>
      </c>
      <c r="F30" s="60" t="n">
        <v>6406.3</v>
      </c>
      <c r="G30" s="60" t="n">
        <v>409.7081</v>
      </c>
      <c r="H30" s="60" t="n">
        <v>454.1879</v>
      </c>
      <c r="I30" s="92" t="n">
        <v>1.8788</v>
      </c>
    </row>
    <row r="31" ht="27" customHeight="1">
      <c r="B31" s="59" t="inlineStr">
        <is>
          <t>PT22X29</t>
        </is>
      </c>
      <c r="C31" s="59" t="n">
        <v>140488</v>
      </c>
      <c r="D31" s="59" t="inlineStr">
        <is>
          <t>L MINDANAO BUFFALO COCONUT</t>
        </is>
      </c>
      <c r="E31" s="91" t="n">
        <v>2</v>
      </c>
      <c r="F31" s="60" t="n">
        <v>44.4</v>
      </c>
      <c r="G31" s="60" t="n">
        <v>4.7919</v>
      </c>
      <c r="H31" s="60" t="n">
        <v>5.3121</v>
      </c>
      <c r="I31" s="92" t="n">
        <v>0.022</v>
      </c>
    </row>
    <row r="32" ht="27" customHeight="1">
      <c r="B32" s="59" t="inlineStr">
        <is>
          <t>PT22X29</t>
        </is>
      </c>
      <c r="C32" s="59" t="n">
        <v>140488</v>
      </c>
      <c r="D32" s="59" t="inlineStr">
        <is>
          <t>L MINDANAO BUFFALO COCONUT</t>
        </is>
      </c>
      <c r="E32" s="91" t="n">
        <v>310</v>
      </c>
      <c r="F32" s="60" t="n">
        <v>11418.9</v>
      </c>
      <c r="G32" s="60" t="n">
        <v>755</v>
      </c>
      <c r="H32" s="60" t="n">
        <v>800</v>
      </c>
      <c r="I32" s="92" t="n">
        <v>2.4552</v>
      </c>
    </row>
    <row r="33" ht="27" customHeight="1">
      <c r="B33" s="59" t="inlineStr">
        <is>
          <t>PT22X37</t>
        </is>
      </c>
      <c r="C33" s="59" t="n">
        <v>140488</v>
      </c>
      <c r="D33" s="59" t="inlineStr">
        <is>
          <t>L MINDANAO BUFFALO COCONUT</t>
        </is>
      </c>
      <c r="E33" s="91" t="n">
        <v>310</v>
      </c>
      <c r="F33" s="60" t="n">
        <v>11702.5</v>
      </c>
      <c r="G33" s="60" t="n">
        <v>760.5</v>
      </c>
      <c r="H33" s="60" t="n">
        <v>805.5</v>
      </c>
      <c r="I33" s="92" t="n">
        <v>2.574</v>
      </c>
    </row>
    <row r="34" ht="27" customHeight="1">
      <c r="B34" s="59" t="inlineStr">
        <is>
          <t>PT22X37</t>
        </is>
      </c>
      <c r="C34" s="59" t="n">
        <v>140488</v>
      </c>
      <c r="D34" s="59" t="inlineStr">
        <is>
          <t>L MINDANAO BUFFALO COCONUT</t>
        </is>
      </c>
      <c r="E34" s="91" t="n">
        <v>190</v>
      </c>
      <c r="F34" s="60" t="n">
        <v>7025.8</v>
      </c>
      <c r="G34" s="60" t="n">
        <v>471</v>
      </c>
      <c r="H34" s="60" t="n">
        <v>516</v>
      </c>
      <c r="I34" s="92" t="n">
        <v>1.8216</v>
      </c>
    </row>
    <row r="35" ht="27" customHeight="1">
      <c r="B35" s="59" t="inlineStr">
        <is>
          <t>PT24G80</t>
        </is>
      </c>
      <c r="C35" s="59" t="n">
        <v>140489</v>
      </c>
      <c r="D35" s="59" t="inlineStr">
        <is>
          <t>L MINDANAO BUFFALO STEELU59504</t>
        </is>
      </c>
      <c r="E35" s="91" t="n">
        <v>250</v>
      </c>
      <c r="F35" s="60" t="n">
        <v>9678.200000000001</v>
      </c>
      <c r="G35" s="60" t="n">
        <v>640</v>
      </c>
      <c r="H35" s="60" t="n">
        <v>685</v>
      </c>
      <c r="I35" s="92" t="n">
        <v>2.4948</v>
      </c>
    </row>
    <row r="36" ht="27" customHeight="1">
      <c r="B36" s="59" t="inlineStr">
        <is>
          <t>PT24G80</t>
        </is>
      </c>
      <c r="C36" s="59" t="n">
        <v>140489</v>
      </c>
      <c r="D36" s="59" t="inlineStr">
        <is>
          <t>L MINDANAO BUFFALO STEELU59504</t>
        </is>
      </c>
      <c r="E36" s="91" t="n">
        <v>199</v>
      </c>
      <c r="F36" s="60" t="n">
        <v>7696</v>
      </c>
      <c r="G36" s="60" t="n">
        <v>503.5</v>
      </c>
      <c r="H36" s="60" t="n">
        <v>548.5</v>
      </c>
      <c r="I36" s="92" t="n">
        <v>2.178</v>
      </c>
    </row>
    <row r="37" ht="27" customHeight="1">
      <c r="B37" s="59" t="inlineStr">
        <is>
          <t>PT24G84</t>
        </is>
      </c>
      <c r="C37" s="59" t="n">
        <v>140489</v>
      </c>
      <c r="D37" s="59" t="inlineStr">
        <is>
          <t>L MINDANAO BUFFALO STEELU59504</t>
        </is>
      </c>
      <c r="E37" s="91" t="n">
        <v>239</v>
      </c>
      <c r="F37" s="60" t="n">
        <v>9285.5</v>
      </c>
      <c r="G37" s="60" t="n">
        <v>622</v>
      </c>
      <c r="H37" s="60" t="n">
        <v>667</v>
      </c>
      <c r="I37" s="92" t="n">
        <v>2.2968</v>
      </c>
    </row>
    <row r="38" ht="27" customHeight="1">
      <c r="A38" s="93" t="n"/>
      <c r="B38" s="55" t="inlineStr">
        <is>
          <t>LEATHER (HS.CODE: 4107.12.00)</t>
        </is>
      </c>
      <c r="C38" s="55" t="n"/>
      <c r="D38" s="55" t="n"/>
      <c r="E38" s="89" t="n"/>
      <c r="F38" s="56" t="n"/>
      <c r="G38" s="56" t="n"/>
      <c r="H38" s="56" t="n"/>
      <c r="I38" s="87" t="n"/>
    </row>
    <row r="39" ht="27" customHeight="1">
      <c r="A39" s="55" t="n"/>
      <c r="B39" s="55" t="inlineStr">
        <is>
          <t>TOTAL OF:</t>
        </is>
      </c>
      <c r="C39" s="55" t="n"/>
      <c r="D39" s="55" t="inlineStr">
        <is>
          <t>13 PALLETS</t>
        </is>
      </c>
      <c r="E39" s="89">
        <f>SUM(E23:E37)</f>
        <v/>
      </c>
      <c r="F39" s="56">
        <f>SUM(F23:F37)</f>
        <v/>
      </c>
      <c r="G39" s="56">
        <f>SUM(G23:G37)</f>
        <v/>
      </c>
      <c r="H39" s="56">
        <f>SUM(H23:H37)</f>
        <v/>
      </c>
      <c r="I39" s="87">
        <f>SUM(I23:I37)</f>
        <v/>
      </c>
    </row>
    <row r="41" ht="27" customHeight="1">
      <c r="A41" s="55" t="inlineStr">
        <is>
          <t>Mark &amp; Nº</t>
        </is>
      </c>
      <c r="B41" s="55" t="inlineStr">
        <is>
          <t>P.O Nº</t>
        </is>
      </c>
      <c r="C41" s="55" t="inlineStr">
        <is>
          <t>ITEM Nº</t>
        </is>
      </c>
      <c r="D41" s="55" t="inlineStr">
        <is>
          <t>Description</t>
        </is>
      </c>
      <c r="E41" s="55" t="inlineStr">
        <is>
          <t>Quantity(SF)</t>
        </is>
      </c>
      <c r="F41" s="86" t="n"/>
      <c r="G41" s="56" t="inlineStr">
        <is>
          <t>N.W (kgs)</t>
        </is>
      </c>
      <c r="H41" s="56" t="inlineStr">
        <is>
          <t>G.W (kgs)</t>
        </is>
      </c>
      <c r="I41" s="87" t="inlineStr">
        <is>
          <t>CBM</t>
        </is>
      </c>
    </row>
    <row r="42" ht="27" customHeight="1">
      <c r="A42" s="88" t="n"/>
      <c r="B42" s="88" t="n"/>
      <c r="C42" s="88" t="n"/>
      <c r="D42" s="88" t="n"/>
      <c r="E42" s="89" t="inlineStr">
        <is>
          <t>PCS</t>
        </is>
      </c>
      <c r="F42" s="56" t="inlineStr">
        <is>
          <t>SF</t>
        </is>
      </c>
      <c r="G42" s="88" t="n"/>
      <c r="H42" s="88" t="n"/>
      <c r="I42" s="88" t="n"/>
    </row>
    <row r="43" ht="27" customHeight="1">
      <c r="A43" s="90" t="inlineStr">
        <is>
          <t>VENDOR#:</t>
        </is>
      </c>
      <c r="B43" s="59" t="inlineStr">
        <is>
          <t>PT1ZX94</t>
        </is>
      </c>
      <c r="C43" s="59" t="n">
        <v>140491</v>
      </c>
      <c r="D43" s="59" t="inlineStr">
        <is>
          <t>L LEESWORTH BUFFALO OCEAN U43809</t>
        </is>
      </c>
      <c r="E43" s="91" t="n">
        <v>290</v>
      </c>
      <c r="F43" s="60" t="n">
        <v>11036.9</v>
      </c>
      <c r="G43" s="60" t="n">
        <v>718.5</v>
      </c>
      <c r="H43" s="60" t="n">
        <v>763.5</v>
      </c>
      <c r="I43" s="92" t="n">
        <v>2.574</v>
      </c>
    </row>
    <row r="44" ht="27" customHeight="1">
      <c r="A44" s="90" t="inlineStr">
        <is>
          <t>Des: LEATHER</t>
        </is>
      </c>
      <c r="B44" s="59" t="inlineStr">
        <is>
          <t>PT1ZX94</t>
        </is>
      </c>
      <c r="C44" s="59" t="n">
        <v>140491</v>
      </c>
      <c r="D44" s="59" t="inlineStr">
        <is>
          <t>L LEESWORTH BUFFALO OCEAN U43809</t>
        </is>
      </c>
      <c r="E44" s="91" t="n">
        <v>289</v>
      </c>
      <c r="F44" s="60" t="n">
        <v>11022.9</v>
      </c>
      <c r="G44" s="60" t="n">
        <v>726</v>
      </c>
      <c r="H44" s="60" t="n">
        <v>771</v>
      </c>
      <c r="I44" s="92" t="n">
        <v>2.574</v>
      </c>
    </row>
    <row r="45" ht="27" customHeight="1">
      <c r="A45" s="90" t="inlineStr">
        <is>
          <t>Case Qty:</t>
        </is>
      </c>
      <c r="B45" s="59" t="inlineStr">
        <is>
          <t>PT1ZX94</t>
        </is>
      </c>
      <c r="C45" s="59" t="n">
        <v>140491</v>
      </c>
      <c r="D45" s="59" t="inlineStr">
        <is>
          <t>L LEESWORTH BUFFALO OCEAN U43809</t>
        </is>
      </c>
      <c r="E45" s="91" t="n">
        <v>277</v>
      </c>
      <c r="F45" s="60" t="n">
        <v>10326.1</v>
      </c>
      <c r="G45" s="60" t="n">
        <v>680.5</v>
      </c>
      <c r="H45" s="60" t="n">
        <v>725.5</v>
      </c>
      <c r="I45" s="92" t="n">
        <v>2.574</v>
      </c>
    </row>
    <row r="46" ht="27" customHeight="1">
      <c r="A46" s="90" t="inlineStr">
        <is>
          <t>MADE IN CAMBODIA</t>
        </is>
      </c>
      <c r="B46" s="59" t="inlineStr">
        <is>
          <t>PT1ZX94</t>
        </is>
      </c>
      <c r="C46" s="59" t="n">
        <v>140491</v>
      </c>
      <c r="D46" s="59" t="inlineStr">
        <is>
          <t>L LEESWORTH BUFFALO OCEAN U43809</t>
        </is>
      </c>
      <c r="E46" s="91" t="n">
        <v>145</v>
      </c>
      <c r="F46" s="60" t="n">
        <v>5335.1</v>
      </c>
      <c r="G46" s="60" t="n">
        <v>344.6279</v>
      </c>
      <c r="H46" s="60" t="n">
        <v>374.9767</v>
      </c>
      <c r="I46" s="92" t="n">
        <v>1.3888</v>
      </c>
    </row>
    <row r="47" ht="27" customHeight="1">
      <c r="B47" s="59" t="inlineStr">
        <is>
          <t>PT1ZX94</t>
        </is>
      </c>
      <c r="C47" s="59" t="n">
        <v>140491</v>
      </c>
      <c r="D47" s="59" t="inlineStr">
        <is>
          <t>L LEESWORTH BUFFALO OCEAN U43809</t>
        </is>
      </c>
      <c r="E47" s="91" t="n">
        <v>70</v>
      </c>
      <c r="F47" s="60" t="n">
        <v>2421.4</v>
      </c>
      <c r="G47" s="60" t="n">
        <v>166.3721</v>
      </c>
      <c r="H47" s="60" t="n">
        <v>181.0233</v>
      </c>
      <c r="I47" s="92" t="n">
        <v>0.6704</v>
      </c>
    </row>
    <row r="48" ht="27" customHeight="1">
      <c r="B48" s="59" t="inlineStr">
        <is>
          <t>PT22848</t>
        </is>
      </c>
      <c r="C48" s="59" t="n">
        <v>140491</v>
      </c>
      <c r="D48" s="59" t="inlineStr">
        <is>
          <t>L LEESWORTH BUFFALO OCEAN U43809</t>
        </is>
      </c>
      <c r="E48" s="91" t="n">
        <v>270</v>
      </c>
      <c r="F48" s="60" t="n">
        <v>10179.4</v>
      </c>
      <c r="G48" s="60" t="n">
        <v>668.5</v>
      </c>
      <c r="H48" s="60" t="n">
        <v>713.5</v>
      </c>
      <c r="I48" s="92" t="n">
        <v>2.4948</v>
      </c>
    </row>
    <row r="49" ht="27" customHeight="1">
      <c r="B49" s="59" t="inlineStr">
        <is>
          <t>PT22848</t>
        </is>
      </c>
      <c r="C49" s="59" t="n">
        <v>140491</v>
      </c>
      <c r="D49" s="59" t="inlineStr">
        <is>
          <t>L LEESWORTH BUFFALO OCEAN U43809</t>
        </is>
      </c>
      <c r="E49" s="91" t="n">
        <v>140</v>
      </c>
      <c r="F49" s="60" t="n">
        <v>5360.4</v>
      </c>
      <c r="G49" s="60" t="n">
        <v>351</v>
      </c>
      <c r="H49" s="60" t="n">
        <v>396</v>
      </c>
      <c r="I49" s="92" t="n">
        <v>1.7424</v>
      </c>
    </row>
    <row r="50" ht="27" customHeight="1">
      <c r="B50" s="59" t="inlineStr">
        <is>
          <t>PT22X29</t>
        </is>
      </c>
      <c r="C50" s="59" t="n">
        <v>140488</v>
      </c>
      <c r="D50" s="59" t="inlineStr">
        <is>
          <t>L MINDANAO BUFFALO COCONUT</t>
        </is>
      </c>
      <c r="E50" s="91" t="n">
        <v>171</v>
      </c>
      <c r="F50" s="60" t="n">
        <v>6406.3</v>
      </c>
      <c r="G50" s="60" t="n">
        <v>409.7081</v>
      </c>
      <c r="H50" s="60" t="n">
        <v>454.1879</v>
      </c>
      <c r="I50" s="92" t="n">
        <v>1.8788</v>
      </c>
    </row>
    <row r="51" ht="27" customHeight="1">
      <c r="B51" s="59" t="inlineStr">
        <is>
          <t>PT22X29</t>
        </is>
      </c>
      <c r="C51" s="59" t="n">
        <v>140488</v>
      </c>
      <c r="D51" s="59" t="inlineStr">
        <is>
          <t>L MINDANAO BUFFALO COCONUT</t>
        </is>
      </c>
      <c r="E51" s="91" t="n">
        <v>2</v>
      </c>
      <c r="F51" s="60" t="n">
        <v>44.4</v>
      </c>
      <c r="G51" s="60" t="n">
        <v>4.7919</v>
      </c>
      <c r="H51" s="60" t="n">
        <v>5.3121</v>
      </c>
      <c r="I51" s="92" t="n">
        <v>0.022</v>
      </c>
    </row>
    <row r="52" ht="27" customHeight="1">
      <c r="B52" s="59" t="inlineStr">
        <is>
          <t>PT22X29</t>
        </is>
      </c>
      <c r="C52" s="59" t="n">
        <v>140488</v>
      </c>
      <c r="D52" s="59" t="inlineStr">
        <is>
          <t>L MINDANAO BUFFALO COCONUT</t>
        </is>
      </c>
      <c r="E52" s="91" t="n">
        <v>310</v>
      </c>
      <c r="F52" s="60" t="n">
        <v>11418.9</v>
      </c>
      <c r="G52" s="60" t="n">
        <v>755</v>
      </c>
      <c r="H52" s="60" t="n">
        <v>800</v>
      </c>
      <c r="I52" s="92" t="n">
        <v>2.4552</v>
      </c>
    </row>
    <row r="53" ht="27" customHeight="1">
      <c r="B53" s="59" t="inlineStr">
        <is>
          <t>PT22X37</t>
        </is>
      </c>
      <c r="C53" s="59" t="n">
        <v>140488</v>
      </c>
      <c r="D53" s="59" t="inlineStr">
        <is>
          <t>L MINDANAO BUFFALO COCONUT</t>
        </is>
      </c>
      <c r="E53" s="91" t="n">
        <v>310</v>
      </c>
      <c r="F53" s="60" t="n">
        <v>11702.5</v>
      </c>
      <c r="G53" s="60" t="n">
        <v>760.5</v>
      </c>
      <c r="H53" s="60" t="n">
        <v>805.5</v>
      </c>
      <c r="I53" s="92" t="n">
        <v>2.574</v>
      </c>
    </row>
    <row r="54" ht="27" customHeight="1">
      <c r="B54" s="59" t="inlineStr">
        <is>
          <t>PT22X37</t>
        </is>
      </c>
      <c r="C54" s="59" t="n">
        <v>140488</v>
      </c>
      <c r="D54" s="59" t="inlineStr">
        <is>
          <t>L MINDANAO BUFFALO COCONUT</t>
        </is>
      </c>
      <c r="E54" s="91" t="n">
        <v>190</v>
      </c>
      <c r="F54" s="60" t="n">
        <v>7025.8</v>
      </c>
      <c r="G54" s="60" t="n">
        <v>471</v>
      </c>
      <c r="H54" s="60" t="n">
        <v>516</v>
      </c>
      <c r="I54" s="92" t="n">
        <v>1.8216</v>
      </c>
    </row>
    <row r="55" ht="27" customHeight="1">
      <c r="B55" s="59" t="inlineStr">
        <is>
          <t>PT24G80</t>
        </is>
      </c>
      <c r="C55" s="59" t="n">
        <v>140489</v>
      </c>
      <c r="D55" s="59" t="inlineStr">
        <is>
          <t>L MINDANAO BUFFALO STEELU59504</t>
        </is>
      </c>
      <c r="E55" s="91" t="n">
        <v>250</v>
      </c>
      <c r="F55" s="60" t="n">
        <v>9678.200000000001</v>
      </c>
      <c r="G55" s="60" t="n">
        <v>640</v>
      </c>
      <c r="H55" s="60" t="n">
        <v>685</v>
      </c>
      <c r="I55" s="92" t="n">
        <v>2.4948</v>
      </c>
    </row>
    <row r="56" ht="27" customHeight="1">
      <c r="B56" s="59" t="inlineStr">
        <is>
          <t>PT24G80</t>
        </is>
      </c>
      <c r="C56" s="59" t="n">
        <v>140489</v>
      </c>
      <c r="D56" s="59" t="inlineStr">
        <is>
          <t>L MINDANAO BUFFALO STEELU59504</t>
        </is>
      </c>
      <c r="E56" s="91" t="n">
        <v>199</v>
      </c>
      <c r="F56" s="60" t="n">
        <v>7696</v>
      </c>
      <c r="G56" s="60" t="n">
        <v>503.5</v>
      </c>
      <c r="H56" s="60" t="n">
        <v>548.5</v>
      </c>
      <c r="I56" s="92" t="n">
        <v>2.178</v>
      </c>
    </row>
    <row r="57" ht="27" customHeight="1">
      <c r="B57" s="59" t="inlineStr">
        <is>
          <t>PT24G84</t>
        </is>
      </c>
      <c r="C57" s="59" t="n">
        <v>140489</v>
      </c>
      <c r="D57" s="59" t="inlineStr">
        <is>
          <t>L MINDANAO BUFFALO STEELU59504</t>
        </is>
      </c>
      <c r="E57" s="91" t="n">
        <v>239</v>
      </c>
      <c r="F57" s="60" t="n">
        <v>9285.5</v>
      </c>
      <c r="G57" s="60" t="n">
        <v>622</v>
      </c>
      <c r="H57" s="60" t="n">
        <v>667</v>
      </c>
      <c r="I57" s="92" t="n">
        <v>2.2968</v>
      </c>
    </row>
    <row r="58" ht="27" customHeight="1">
      <c r="A58" s="93" t="n"/>
      <c r="B58" s="55" t="inlineStr">
        <is>
          <t>LEATHER (HS.CODE: 4107.12.00)</t>
        </is>
      </c>
      <c r="C58" s="55" t="n"/>
      <c r="D58" s="55" t="n"/>
      <c r="E58" s="89" t="n"/>
      <c r="F58" s="56" t="n"/>
      <c r="G58" s="56" t="n"/>
      <c r="H58" s="56" t="n"/>
      <c r="I58" s="87" t="n"/>
    </row>
    <row r="59" ht="27" customHeight="1">
      <c r="A59" s="55" t="n"/>
      <c r="B59" s="55" t="inlineStr">
        <is>
          <t>TOTAL OF:</t>
        </is>
      </c>
      <c r="C59" s="55" t="n"/>
      <c r="D59" s="55" t="inlineStr">
        <is>
          <t>13 PALLETS</t>
        </is>
      </c>
      <c r="E59" s="89">
        <f>SUM(E43:E57)</f>
        <v/>
      </c>
      <c r="F59" s="56">
        <f>SUM(F43:F57)</f>
        <v/>
      </c>
      <c r="G59" s="56">
        <f>SUM(G43:G57)</f>
        <v/>
      </c>
      <c r="H59" s="56">
        <f>SUM(H43:H57)</f>
        <v/>
      </c>
      <c r="I59" s="87">
        <f>SUM(I43:I57)</f>
        <v/>
      </c>
    </row>
    <row r="60" ht="27" customHeight="1">
      <c r="A60" s="94" t="n"/>
      <c r="B60" s="94" t="inlineStr">
        <is>
          <t>TOTAL OF:</t>
        </is>
      </c>
      <c r="C60" s="94" t="n"/>
      <c r="D60" s="94" t="inlineStr">
        <is>
          <t>26 PALLETS</t>
        </is>
      </c>
      <c r="E60" s="95">
        <f>SUM(E23:E37,E43:E57)</f>
        <v/>
      </c>
      <c r="F60" s="96">
        <f>SUM(F23:F37,F43:F57)</f>
        <v/>
      </c>
      <c r="G60" s="96">
        <f>SUM(G23:G37,G43:G57)</f>
        <v/>
      </c>
      <c r="H60" s="96">
        <f>SUM(H23:H37,H43:H57)</f>
        <v/>
      </c>
      <c r="I60" s="97">
        <f>SUM(I23:I37,I43:I57)</f>
        <v/>
      </c>
    </row>
    <row r="61" ht="27" customHeight="1">
      <c r="A61" s="94" t="n"/>
      <c r="B61" s="94" t="inlineStr">
        <is>
          <t>TOTAL OF:</t>
        </is>
      </c>
      <c r="C61" s="94" t="inlineStr">
        <is>
          <t>BUFFALO LEATHER</t>
        </is>
      </c>
      <c r="D61" s="94" t="inlineStr">
        <is>
          <t>26 PALLETS</t>
        </is>
      </c>
      <c r="E61" s="95" t="n">
        <v>6304</v>
      </c>
      <c r="F61" s="96" t="n">
        <v>237879.6</v>
      </c>
      <c r="G61" s="96" t="n">
        <v>15644</v>
      </c>
      <c r="H61" s="96" t="n">
        <v>16814</v>
      </c>
      <c r="I61" s="97" t="n">
        <v>59.47920000000001</v>
      </c>
    </row>
    <row r="62" ht="27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27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27" customHeight="1">
      <c r="A64" s="53" t="n"/>
      <c r="B64" s="85" t="n"/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27" customHeight="1">
      <c r="A65" s="98" t="inlineStr">
        <is>
          <t>Country of Original Cambodia</t>
        </is>
      </c>
      <c r="B65" s="98" t="n"/>
      <c r="C65" s="98" t="n"/>
      <c r="D65" s="41" t="n"/>
      <c r="E65" s="99" t="n"/>
      <c r="F65" s="26" t="n"/>
      <c r="G65" s="26" t="n"/>
      <c r="H65" s="26" t="n"/>
      <c r="I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65.25" customHeight="1">
      <c r="A66" s="61" t="inlineStr">
        <is>
          <t>Manufacture:</t>
        </is>
      </c>
      <c r="B66" s="100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66" s="101" t="n"/>
      <c r="F66" s="101" t="n"/>
      <c r="G66" s="101" t="n"/>
      <c r="H66" s="26" t="n"/>
      <c r="I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51.75" customHeight="1">
      <c r="A67" s="100" t="inlineStr">
        <is>
          <t>BENEFICIARY BANK：BANK OF CHINA(HONG KONG)LIMITED  PHNOM PENH BRANCH
                                          /BANK OF CHINA PHNOM PENH BRANCH</t>
        </is>
      </c>
      <c r="E67" s="101" t="n"/>
      <c r="F67" s="101" t="n"/>
      <c r="G67" s="101" t="n"/>
      <c r="H67" s="101" t="n"/>
      <c r="I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27" customHeight="1">
      <c r="A68" s="67" t="inlineStr">
        <is>
          <t>A/C NO:100001100764430</t>
        </is>
      </c>
      <c r="B68" s="67" t="n"/>
      <c r="C68" s="67" t="n"/>
      <c r="D68" s="67" t="n"/>
      <c r="E68" s="50" t="n"/>
      <c r="F68" s="50" t="n"/>
      <c r="G68" s="50" t="n"/>
      <c r="H68" s="50" t="n"/>
      <c r="I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27" customHeight="1">
      <c r="A69" s="67" t="inlineStr">
        <is>
          <t>SWIFT CODE  ：BKCHKHPPXXX</t>
        </is>
      </c>
      <c r="B69" s="67" t="n"/>
      <c r="C69" s="67" t="n"/>
      <c r="D69" s="67" t="n"/>
      <c r="E69" s="50" t="n"/>
      <c r="F69" s="50" t="n"/>
      <c r="G69" s="50" t="n"/>
      <c r="H69" s="50" t="n"/>
      <c r="I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27" customHeight="1">
      <c r="A70" s="2" t="n"/>
      <c r="B70" s="102" t="n"/>
      <c r="C70" s="2" t="n"/>
      <c r="D70" s="2" t="n"/>
      <c r="E70" s="52" t="n"/>
      <c r="F70" s="2" t="n"/>
      <c r="G70" s="2" t="n"/>
      <c r="H70" s="26" t="inlineStr">
        <is>
          <t>CALIFOR UPHOLSTERY MATERIALS CO., LTD.</t>
        </is>
      </c>
      <c r="I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27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27" customHeight="1">
      <c r="A72" s="2" t="inlineStr">
        <is>
          <t>A</t>
        </is>
      </c>
      <c r="B72" s="2" t="inlineStr">
        <is>
          <t>B</t>
        </is>
      </c>
      <c r="C72" s="2" t="inlineStr">
        <is>
          <t>C</t>
        </is>
      </c>
      <c r="D72" s="2" t="inlineStr">
        <is>
          <t>D</t>
        </is>
      </c>
      <c r="E72" s="52" t="inlineStr">
        <is>
          <t>E</t>
        </is>
      </c>
      <c r="F72" s="52" t="inlineStr">
        <is>
          <t>F</t>
        </is>
      </c>
      <c r="G72" s="52" t="inlineStr">
        <is>
          <t>G</t>
        </is>
      </c>
      <c r="H72" s="52" t="inlineStr">
        <is>
          <t>H</t>
        </is>
      </c>
      <c r="I72" s="52" t="inlineStr">
        <is>
          <t>I</t>
        </is>
      </c>
      <c r="K72" s="52" t="inlineStr">
        <is>
          <t>J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</sheetData>
  <mergeCells count="29">
    <mergeCell ref="D21:D22"/>
    <mergeCell ref="A41:A42"/>
    <mergeCell ref="H41:H42"/>
    <mergeCell ref="H21:H22"/>
    <mergeCell ref="A3:I3"/>
    <mergeCell ref="I41:I42"/>
    <mergeCell ref="B58:C58"/>
    <mergeCell ref="A67:D67"/>
    <mergeCell ref="A2:I2"/>
    <mergeCell ref="A5:I5"/>
    <mergeCell ref="C41:C42"/>
    <mergeCell ref="C21:C22"/>
    <mergeCell ref="I21:I22"/>
    <mergeCell ref="D41:D42"/>
    <mergeCell ref="B59"/>
    <mergeCell ref="A4:I4"/>
    <mergeCell ref="A21:A22"/>
    <mergeCell ref="B38:C38"/>
    <mergeCell ref="B39"/>
    <mergeCell ref="G41:G42"/>
    <mergeCell ref="B60"/>
    <mergeCell ref="B66:D66"/>
    <mergeCell ref="E41:F41"/>
    <mergeCell ref="A1:I1"/>
    <mergeCell ref="G21:G22"/>
    <mergeCell ref="B41:B42"/>
    <mergeCell ref="A6:I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2025-11-22T08:05:53Z</dcterms:created>
  <dcterms:modified xmlns:dcterms="http://purl.org/dc/terms/" xmlns:xsi="http://www.w3.org/2001/XMLSchema-instance" xsi:type="dcterms:W3CDTF">2025-11-22T08:05:55Z</dcterms:modified>
</cp:coreProperties>
</file>