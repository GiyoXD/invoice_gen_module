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0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b val="1"/>
      <sz val="16"/>
    </font>
    <font>
      <name val="Times New Roman"/>
      <sz val="14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49" fontId="25" fillId="0" borderId="3" applyAlignment="1" pivotButton="0" quotePrefix="0" xfId="0">
      <alignment horizontal="center" vertical="center"/>
    </xf>
    <xf numFmtId="4" fontId="25" fillId="0" borderId="3" applyAlignment="1" pivotButton="0" quotePrefix="0" xfId="0">
      <alignment horizontal="center" vertical="center"/>
    </xf>
    <xf numFmtId="49" fontId="26" fillId="0" borderId="3" applyAlignment="1" pivotButton="0" quotePrefix="0" xfId="0">
      <alignment horizontal="center" vertical="center"/>
    </xf>
    <xf numFmtId="4" fontId="26" fillId="0" borderId="3" applyAlignment="1" pivotButton="0" quotePrefix="0" xfId="0">
      <alignment horizontal="center" vertical="center"/>
    </xf>
    <xf numFmtId="49" fontId="24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left" vertical="top"/>
    </xf>
    <xf numFmtId="0" fontId="28" fillId="0" borderId="0" applyAlignment="1" pivotButton="0" quotePrefix="0" xfId="0">
      <alignment vertical="top"/>
    </xf>
    <xf numFmtId="0" fontId="28" fillId="0" borderId="0" applyAlignment="1" pivotButton="0" quotePrefix="0" xfId="0">
      <alignment vertical="top" wrapText="1"/>
    </xf>
    <xf numFmtId="0" fontId="27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49" fontId="15" fillId="0" borderId="3" applyAlignment="1" pivotButton="0" quotePrefix="0" xfId="0">
      <alignment horizontal="center" vertical="center"/>
    </xf>
    <xf numFmtId="49" fontId="15" fillId="0" borderId="3" applyAlignment="1" pivotButton="0" quotePrefix="0" xfId="0">
      <alignment horizontal="center" vertical="center" wrapText="1"/>
    </xf>
    <xf numFmtId="4" fontId="15" fillId="0" borderId="3" applyAlignment="1" pivotButton="0" quotePrefix="0" xfId="0">
      <alignment horizontal="center" vertical="center"/>
    </xf>
    <xf numFmtId="49" fontId="16" fillId="0" borderId="3" applyAlignment="1" pivotButton="0" quotePrefix="0" xfId="0">
      <alignment horizontal="center" vertical="center"/>
    </xf>
    <xf numFmtId="49" fontId="16" fillId="0" borderId="3" applyAlignment="1" pivotButton="0" quotePrefix="0" xfId="0">
      <alignment horizontal="center" vertical="center" wrapText="1"/>
    </xf>
    <xf numFmtId="4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9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9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2" fontId="15" fillId="0" borderId="3" applyAlignment="1" pivotButton="0" quotePrefix="0" xfId="0">
      <alignment horizontal="center" vertical="center"/>
    </xf>
    <xf numFmtId="0" fontId="0" fillId="0" borderId="6" pivotButton="0" quotePrefix="0" xfId="0"/>
    <xf numFmtId="3" fontId="15" fillId="0" borderId="3" applyAlignment="1" pivotButton="0" quotePrefix="0" xfId="0">
      <alignment horizontal="center" vertical="center"/>
    </xf>
    <xf numFmtId="3" fontId="16" fillId="0" borderId="3" applyAlignment="1" pivotButton="0" quotePrefix="0" xfId="0">
      <alignment horizontal="center" vertical="center"/>
    </xf>
    <xf numFmtId="2" fontId="16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 ht="36" customHeight="1">
      <c r="A15" s="15" t="inlineStr">
        <is>
          <t>No.</t>
        </is>
      </c>
      <c r="B15" s="15" t="inlineStr">
        <is>
          <t>ITEM Nº</t>
        </is>
      </c>
      <c r="C15" s="16" t="inlineStr">
        <is>
          <t>Quantity(SF)</t>
        </is>
      </c>
      <c r="D15" s="16" t="inlineStr">
        <is>
          <t>Unit Price(USD)</t>
        </is>
      </c>
      <c r="E15" s="16" t="inlineStr">
        <is>
          <t>Total value(USD)</t>
        </is>
      </c>
    </row>
    <row r="16" ht="30" customHeight="1">
      <c r="A16" s="17" t="n">
        <v>1</v>
      </c>
      <c r="B16" s="17" t="inlineStr">
        <is>
          <t>01.10.W653191</t>
        </is>
      </c>
      <c r="C16" s="18" t="n">
        <v>6461.7</v>
      </c>
      <c r="D16" s="18" t="n">
        <v>1.3</v>
      </c>
      <c r="E16" s="18">
        <f>D16*C16</f>
        <v/>
      </c>
    </row>
    <row r="17" ht="30" customHeight="1">
      <c r="A17" s="17" t="n">
        <v>2</v>
      </c>
      <c r="B17" s="17" t="inlineStr">
        <is>
          <t>01.10.W653191</t>
        </is>
      </c>
      <c r="C17" s="18" t="n">
        <v>77.90000000000001</v>
      </c>
      <c r="D17" s="18" t="n">
        <v>1.17</v>
      </c>
      <c r="E17" s="18">
        <f>D17*C17</f>
        <v/>
      </c>
    </row>
    <row r="18" ht="30" customHeight="1">
      <c r="A18" s="17" t="n">
        <v>3</v>
      </c>
      <c r="B18" s="17" t="inlineStr">
        <is>
          <t>01.10.U756071</t>
        </is>
      </c>
      <c r="C18" s="18" t="n">
        <v>20949.5</v>
      </c>
      <c r="D18" s="18" t="n">
        <v>1.25</v>
      </c>
      <c r="E18" s="18">
        <f>D18*C18</f>
        <v/>
      </c>
    </row>
    <row r="19" ht="30" customHeight="1">
      <c r="A19" s="17" t="n">
        <v>4</v>
      </c>
      <c r="B19" s="17" t="inlineStr">
        <is>
          <t>01.10.U756071</t>
        </is>
      </c>
      <c r="C19" s="18" t="n">
        <v>241.9</v>
      </c>
      <c r="D19" s="18" t="n">
        <v>1.13</v>
      </c>
      <c r="E19" s="18">
        <f>D19*C19</f>
        <v/>
      </c>
    </row>
    <row r="20" ht="30" customHeight="1">
      <c r="A20" s="17" t="n">
        <v>5</v>
      </c>
      <c r="B20" s="17" t="inlineStr">
        <is>
          <t>01.10.U528062</t>
        </is>
      </c>
      <c r="C20" s="18" t="n">
        <v>28156.8</v>
      </c>
      <c r="D20" s="18" t="n">
        <v>1.27</v>
      </c>
      <c r="E20" s="18">
        <f>D20*C20</f>
        <v/>
      </c>
    </row>
    <row r="21" ht="30" customHeight="1">
      <c r="A21" s="17" t="n">
        <v>6</v>
      </c>
      <c r="B21" s="17" t="inlineStr">
        <is>
          <t>01.10.U528062</t>
        </is>
      </c>
      <c r="C21" s="18" t="n">
        <v>711.1</v>
      </c>
      <c r="D21" s="18" t="n">
        <v>1.14</v>
      </c>
      <c r="E21" s="18">
        <f>D21*C21</f>
        <v/>
      </c>
    </row>
    <row r="22" ht="30" customHeight="1">
      <c r="A22" s="17" t="n">
        <v>7</v>
      </c>
      <c r="B22" s="17" t="inlineStr">
        <is>
          <t>01.10.U528062</t>
        </is>
      </c>
      <c r="C22" s="18" t="n">
        <v>1301.4</v>
      </c>
      <c r="D22" s="18" t="n">
        <v>1.14</v>
      </c>
      <c r="E22" s="18">
        <f>D22*C22</f>
        <v/>
      </c>
    </row>
    <row r="23" ht="30" customHeight="1">
      <c r="A23" s="17" t="n">
        <v>8</v>
      </c>
      <c r="B23" s="17" t="inlineStr">
        <is>
          <t>01.10.U528062</t>
        </is>
      </c>
      <c r="C23" s="18" t="n">
        <v>18717.9</v>
      </c>
      <c r="D23" s="18" t="n">
        <v>1.27</v>
      </c>
      <c r="E23" s="18">
        <f>D23*C23</f>
        <v/>
      </c>
    </row>
    <row r="24" ht="30" customHeight="1">
      <c r="A24" s="17" t="n">
        <v>9</v>
      </c>
      <c r="B24" s="17" t="inlineStr">
        <is>
          <t>01.10.U528073</t>
        </is>
      </c>
      <c r="C24" s="18" t="n">
        <v>106711.7</v>
      </c>
      <c r="D24" s="18" t="n">
        <v>1.25</v>
      </c>
      <c r="E24" s="18">
        <f>D24*C24</f>
        <v/>
      </c>
    </row>
    <row r="25" ht="30" customHeight="1">
      <c r="A25" s="17" t="n">
        <v>10</v>
      </c>
      <c r="B25" s="17" t="inlineStr">
        <is>
          <t>01.10.U528073</t>
        </is>
      </c>
      <c r="C25" s="18" t="n">
        <v>1320.6</v>
      </c>
      <c r="D25" s="18" t="n">
        <v>1.13</v>
      </c>
      <c r="E25" s="18">
        <f>D25*C25</f>
        <v/>
      </c>
    </row>
    <row r="26" ht="30" customHeight="1">
      <c r="A26" s="17" t="n">
        <v>11</v>
      </c>
      <c r="B26" s="17" t="inlineStr">
        <is>
          <t>01.10.U528073</t>
        </is>
      </c>
      <c r="C26" s="18" t="n">
        <v>367.3</v>
      </c>
      <c r="D26" s="18" t="n">
        <v>1.06</v>
      </c>
      <c r="E26" s="18">
        <f>D26*C26</f>
        <v/>
      </c>
    </row>
    <row r="27" ht="30" customHeight="1">
      <c r="A27" s="17" t="n">
        <v>12</v>
      </c>
      <c r="B27" s="17" t="inlineStr">
        <is>
          <t>01.10.U528073</t>
        </is>
      </c>
      <c r="C27" s="18" t="n">
        <v>101424.8</v>
      </c>
      <c r="D27" s="18" t="n">
        <v>1.25</v>
      </c>
      <c r="E27" s="18">
        <f>D27*C27</f>
        <v/>
      </c>
    </row>
    <row r="28" ht="30" customHeight="1">
      <c r="A28" s="17" t="n">
        <v>13</v>
      </c>
      <c r="B28" s="17" t="inlineStr">
        <is>
          <t>01.10.U528073</t>
        </is>
      </c>
      <c r="C28" s="18" t="n">
        <v>1205.1</v>
      </c>
      <c r="D28" s="18" t="n">
        <v>1.13</v>
      </c>
      <c r="E28" s="18">
        <f>D28*C28</f>
        <v/>
      </c>
    </row>
    <row r="29" ht="30" customHeight="1">
      <c r="A29" s="17" t="n">
        <v>14</v>
      </c>
      <c r="B29" s="17" t="inlineStr">
        <is>
          <t>01.10.L2924</t>
        </is>
      </c>
      <c r="C29" s="18" t="n">
        <v>5345</v>
      </c>
      <c r="D29" s="18" t="n">
        <v>1.3</v>
      </c>
      <c r="E29" s="18">
        <f>D29*C29</f>
        <v/>
      </c>
    </row>
    <row r="30" ht="30" customHeight="1">
      <c r="A30" s="17" t="n">
        <v>15</v>
      </c>
      <c r="B30" s="17" t="inlineStr">
        <is>
          <t>01.10.L2924</t>
        </is>
      </c>
      <c r="C30" s="18" t="n">
        <v>121</v>
      </c>
      <c r="D30" s="18" t="n">
        <v>1.17</v>
      </c>
      <c r="E30" s="18">
        <f>D30*C30</f>
        <v/>
      </c>
    </row>
    <row r="31" ht="36" customHeight="1">
      <c r="A31" s="15" t="inlineStr">
        <is>
          <t>TOTAL:</t>
        </is>
      </c>
      <c r="B31" s="15" t="inlineStr">
        <is>
          <t>31 PALLETS</t>
        </is>
      </c>
      <c r="C31" s="16">
        <f>SUM(C16:C30)</f>
        <v/>
      </c>
      <c r="D31" s="16" t="n"/>
      <c r="E31" s="16">
        <f>SUM(E16:E30)</f>
        <v/>
      </c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9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20" t="inlineStr">
        <is>
          <t>The Buyer:</t>
        </is>
      </c>
      <c r="B40" s="2" t="n"/>
      <c r="C40" s="2" t="n"/>
      <c r="D40" s="21" t="inlineStr">
        <is>
          <t>The Seller:</t>
        </is>
      </c>
      <c r="E40" s="2" t="n"/>
      <c r="F40" s="2" t="n"/>
    </row>
    <row r="41" ht="29.1" customHeight="1">
      <c r="A41" s="22" t="inlineStr">
        <is>
          <t>JASON FURNITURE VIET NAM COMPANY LIMITED</t>
        </is>
      </c>
      <c r="B41" s="23" t="n"/>
      <c r="C41" s="24" t="n"/>
      <c r="D41" s="22" t="inlineStr">
        <is>
          <t>CALIFOR UPHOLSTERY MATERIALS CO.,LTD.</t>
        </is>
      </c>
      <c r="E41" s="22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5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6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7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6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8" t="inlineStr">
        <is>
          <t>Tel: +855   975910636</t>
        </is>
      </c>
      <c r="B5" s="29" t="n"/>
      <c r="C5" s="29" t="n"/>
      <c r="D5" s="29" t="n"/>
      <c r="E5" s="29" t="n"/>
      <c r="F5" s="29" t="n"/>
      <c r="G5" s="29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30" t="inlineStr">
        <is>
          <t>INVOICE</t>
        </is>
      </c>
      <c r="B6" s="31" t="n"/>
      <c r="C6" s="31" t="n"/>
      <c r="D6" s="31" t="n"/>
      <c r="E6" s="31" t="n"/>
      <c r="F6" s="31" t="n"/>
      <c r="G6" s="31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2" t="n"/>
      <c r="B7" s="32" t="n"/>
      <c r="C7" s="32" t="n"/>
      <c r="D7" s="32" t="n"/>
      <c r="E7" s="32" t="n"/>
      <c r="F7" s="33" t="inlineStr">
        <is>
          <t>Ref No.:</t>
        </is>
      </c>
      <c r="G7" s="34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5" t="inlineStr">
        <is>
          <t>EXPORTER:</t>
        </is>
      </c>
      <c r="B8" s="36" t="inlineStr">
        <is>
          <t>CALIFOR UPHOLSTERY MATERIALS CO., LTD.</t>
        </is>
      </c>
      <c r="C8" s="2" t="n"/>
      <c r="D8" s="2" t="n"/>
      <c r="E8" s="36" t="n"/>
      <c r="F8" s="37" t="inlineStr">
        <is>
          <t>INVOICE NO :</t>
        </is>
      </c>
      <c r="G8" s="38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2" t="n"/>
      <c r="B9" s="32" t="inlineStr">
        <is>
          <t xml:space="preserve">XIN BAVET SEZ, Road No. 316A, Trapeang Bon and Prey Kokir Villages, </t>
        </is>
      </c>
      <c r="C9" s="2" t="n"/>
      <c r="D9" s="2" t="n"/>
      <c r="E9" s="32" t="n"/>
      <c r="F9" s="37" t="inlineStr">
        <is>
          <t>Date:</t>
        </is>
      </c>
      <c r="G9" s="39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2" t="n"/>
      <c r="B10" s="32" t="inlineStr">
        <is>
          <t xml:space="preserve">Prey Kokir Commune, Chantrea District,Svay Rieng Province, Kingdom of Cambodia </t>
        </is>
      </c>
      <c r="C10" s="2" t="n"/>
      <c r="D10" s="2" t="n"/>
      <c r="E10" s="32" t="n"/>
      <c r="F10" s="40" t="inlineStr">
        <is>
          <t>FCA :</t>
        </is>
      </c>
      <c r="G10" s="41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2" t="n"/>
      <c r="B11" s="32" t="inlineStr">
        <is>
          <t>Tel: +855   975910636</t>
        </is>
      </c>
      <c r="C11" s="2" t="n"/>
      <c r="D11" s="2" t="n"/>
      <c r="E11" s="32" t="n"/>
      <c r="F11" s="32" t="n"/>
      <c r="G11" s="26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2" t="n"/>
      <c r="B12" s="32" t="n"/>
      <c r="C12" s="32" t="n"/>
      <c r="D12" s="32" t="n"/>
      <c r="E12" s="32" t="n"/>
      <c r="F12" s="32" t="n"/>
      <c r="G12" s="26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2" t="inlineStr">
        <is>
          <t>CONSIGNEE :</t>
        </is>
      </c>
      <c r="B13" s="43" t="inlineStr">
        <is>
          <t>JASON FURNITURE VIET NAM COMPANY LIMITED</t>
        </is>
      </c>
      <c r="C13" s="2" t="n"/>
      <c r="D13" s="2" t="n"/>
      <c r="E13" s="44" t="n"/>
      <c r="F13" s="44" t="n"/>
      <c r="G13" s="45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2" t="n"/>
      <c r="B14" s="46" t="inlineStr">
        <is>
          <t>LOT 37, 38, 39, 40, 41, 44, 50, 51, 54，55, 56，B2 CLUSTER, DONG XOAI III INDUSTRIAL ZONE,</t>
        </is>
      </c>
      <c r="C14" s="47" t="n"/>
      <c r="D14" s="47" t="n"/>
      <c r="E14" s="47" t="n"/>
      <c r="F14" s="47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2" t="n"/>
      <c r="B15" s="48" t="inlineStr">
        <is>
          <t>BINH PHUOC WARD,DONG NAI PROVINCE, VIETNAM</t>
        </is>
      </c>
      <c r="C15" s="49" t="n"/>
      <c r="D15" s="49" t="n"/>
      <c r="E15" s="49" t="n"/>
      <c r="F15" s="45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2" t="n"/>
      <c r="B16" s="50" t="inlineStr">
        <is>
          <t>Contact Person : Mr. Thuy   TEl: 0379367084</t>
        </is>
      </c>
      <c r="C16" s="49" t="n"/>
      <c r="D16" s="49" t="n"/>
      <c r="E16" s="49" t="n"/>
      <c r="F16" s="49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2" t="n"/>
      <c r="B17" s="50" t="inlineStr">
        <is>
          <t xml:space="preserve">EMAlL:jyangbin4720@dingtalk.com jialy@kukahome.com </t>
        </is>
      </c>
      <c r="C17" s="49" t="n"/>
      <c r="D17" s="49" t="n"/>
      <c r="E17" s="49" t="n"/>
      <c r="F17" s="45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2" t="n"/>
      <c r="B18" s="50" t="inlineStr">
        <is>
          <t>dailin@kukahome.com huanggf@kukahome.com zhangzp@kukahome.com</t>
        </is>
      </c>
      <c r="C18" s="32" t="n"/>
      <c r="D18" s="32" t="n"/>
      <c r="E18" s="32" t="n"/>
      <c r="F18" s="26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51" t="inlineStr">
        <is>
          <t xml:space="preserve">SHIP: </t>
        </is>
      </c>
      <c r="B19" s="32" t="inlineStr">
        <is>
          <t>BY TRUCK FROM BAVET, SVAY RIENG, CAMBODIA TO DONG NAI PROVINCE, VIETNAM.</t>
        </is>
      </c>
      <c r="C19" s="2" t="n"/>
      <c r="D19" s="2" t="n"/>
      <c r="E19" s="2" t="n"/>
      <c r="F19" s="5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3" t="n"/>
      <c r="B20" s="5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35" customHeight="1">
      <c r="A21" s="54" t="inlineStr">
        <is>
          <t>Mark &amp; Nº</t>
        </is>
      </c>
      <c r="B21" s="54" t="inlineStr">
        <is>
          <t>P.O. Nº</t>
        </is>
      </c>
      <c r="C21" s="54" t="inlineStr">
        <is>
          <t>ITEM Nº</t>
        </is>
      </c>
      <c r="D21" s="55" t="inlineStr">
        <is>
          <t>Description</t>
        </is>
      </c>
      <c r="E21" s="56" t="inlineStr">
        <is>
          <t>Quantity(SF)</t>
        </is>
      </c>
      <c r="F21" s="56" t="inlineStr">
        <is>
          <t>Unit price (USD)</t>
        </is>
      </c>
      <c r="G21" s="56" t="inlineStr">
        <is>
          <t>Amount (USD)</t>
        </is>
      </c>
    </row>
    <row r="22" ht="35" customHeight="1">
      <c r="A22" s="57" t="inlineStr">
        <is>
          <t>VENDOR#:</t>
        </is>
      </c>
      <c r="B22" s="57" t="inlineStr">
        <is>
          <t>9000675121</t>
        </is>
      </c>
      <c r="C22" s="57" t="inlineStr">
        <is>
          <t>01.10.W653191</t>
        </is>
      </c>
      <c r="D22" s="58" t="n"/>
      <c r="E22" s="59" t="n">
        <v>6461.7</v>
      </c>
      <c r="F22" s="59" t="n">
        <v>1.3</v>
      </c>
      <c r="G22" s="59">
        <f>F22*E22</f>
        <v/>
      </c>
    </row>
    <row r="23" ht="35" customHeight="1">
      <c r="A23" s="57" t="inlineStr">
        <is>
          <t>Des: LEATHER</t>
        </is>
      </c>
      <c r="B23" s="57" t="inlineStr">
        <is>
          <t>9000675121</t>
        </is>
      </c>
      <c r="C23" s="57" t="inlineStr">
        <is>
          <t>01.10.W653191</t>
        </is>
      </c>
      <c r="D23" s="58" t="n"/>
      <c r="E23" s="59" t="n">
        <v>77.90000000000001</v>
      </c>
      <c r="F23" s="59" t="n">
        <v>1.17</v>
      </c>
      <c r="G23" s="59">
        <f>F23*E23</f>
        <v/>
      </c>
    </row>
    <row r="24" ht="35" customHeight="1">
      <c r="A24" s="57" t="inlineStr">
        <is>
          <t>MADE IN CAMBODIA</t>
        </is>
      </c>
      <c r="B24" s="57" t="inlineStr">
        <is>
          <t>9000678762</t>
        </is>
      </c>
      <c r="C24" s="57" t="inlineStr">
        <is>
          <t>01.10.U756071</t>
        </is>
      </c>
      <c r="D24" s="58" t="n"/>
      <c r="E24" s="59" t="n">
        <v>20949.5</v>
      </c>
      <c r="F24" s="59" t="n">
        <v>1.25</v>
      </c>
      <c r="G24" s="59">
        <f>F24*E24</f>
        <v/>
      </c>
    </row>
    <row r="25" ht="35" customHeight="1">
      <c r="B25" s="57" t="inlineStr">
        <is>
          <t>9000678762</t>
        </is>
      </c>
      <c r="C25" s="57" t="inlineStr">
        <is>
          <t>01.10.U756071</t>
        </is>
      </c>
      <c r="D25" s="58" t="n"/>
      <c r="E25" s="59" t="n">
        <v>241.9</v>
      </c>
      <c r="F25" s="59" t="n">
        <v>1.13</v>
      </c>
      <c r="G25" s="59">
        <f>F25*E25</f>
        <v/>
      </c>
    </row>
    <row r="26" ht="35" customHeight="1">
      <c r="B26" s="57" t="n">
        <v>9000697761</v>
      </c>
      <c r="C26" s="57" t="inlineStr">
        <is>
          <t>01.10.U528062</t>
        </is>
      </c>
      <c r="D26" s="58" t="n"/>
      <c r="E26" s="59" t="n">
        <v>28156.8</v>
      </c>
      <c r="F26" s="59" t="n">
        <v>1.27</v>
      </c>
      <c r="G26" s="59">
        <f>F26*E26</f>
        <v/>
      </c>
    </row>
    <row r="27" ht="35" customHeight="1">
      <c r="B27" s="57" t="n">
        <v>9000697761</v>
      </c>
      <c r="C27" s="57" t="inlineStr">
        <is>
          <t>01.10.U528062</t>
        </is>
      </c>
      <c r="D27" s="58" t="n"/>
      <c r="E27" s="59" t="n">
        <v>711.1</v>
      </c>
      <c r="F27" s="59" t="n">
        <v>1.14</v>
      </c>
      <c r="G27" s="59">
        <f>F27*E27</f>
        <v/>
      </c>
    </row>
    <row r="28" ht="35" customHeight="1">
      <c r="B28" s="57" t="n">
        <v>9000699450</v>
      </c>
      <c r="C28" s="57" t="inlineStr">
        <is>
          <t>01.10.U528062</t>
        </is>
      </c>
      <c r="D28" s="58" t="n"/>
      <c r="E28" s="59" t="n">
        <v>1301.4</v>
      </c>
      <c r="F28" s="59" t="n">
        <v>1.14</v>
      </c>
      <c r="G28" s="59">
        <f>F28*E28</f>
        <v/>
      </c>
    </row>
    <row r="29" ht="35" customHeight="1">
      <c r="B29" s="57" t="n">
        <v>9000699450</v>
      </c>
      <c r="C29" s="57" t="inlineStr">
        <is>
          <t>01.10.U528062</t>
        </is>
      </c>
      <c r="D29" s="58" t="n"/>
      <c r="E29" s="59" t="n">
        <v>18717.9</v>
      </c>
      <c r="F29" s="59" t="n">
        <v>1.27</v>
      </c>
      <c r="G29" s="59">
        <f>F29*E29</f>
        <v/>
      </c>
    </row>
    <row r="30" ht="35" customHeight="1">
      <c r="B30" s="57" t="n">
        <v>9000699450</v>
      </c>
      <c r="C30" s="57" t="inlineStr">
        <is>
          <t>01.10.U528073</t>
        </is>
      </c>
      <c r="D30" s="58" t="n"/>
      <c r="E30" s="59" t="n">
        <v>106711.7</v>
      </c>
      <c r="F30" s="59" t="n">
        <v>1.25</v>
      </c>
      <c r="G30" s="59">
        <f>F30*E30</f>
        <v/>
      </c>
    </row>
    <row r="31" ht="35" customHeight="1">
      <c r="B31" s="57" t="n">
        <v>9000699450</v>
      </c>
      <c r="C31" s="57" t="inlineStr">
        <is>
          <t>01.10.U528073</t>
        </is>
      </c>
      <c r="D31" s="58" t="n"/>
      <c r="E31" s="59" t="n">
        <v>1320.6</v>
      </c>
      <c r="F31" s="59" t="n">
        <v>1.13</v>
      </c>
      <c r="G31" s="59">
        <f>F31*E31</f>
        <v/>
      </c>
    </row>
    <row r="32" ht="35" customHeight="1">
      <c r="B32" s="57" t="n">
        <v>9000699450</v>
      </c>
      <c r="C32" s="57" t="inlineStr">
        <is>
          <t>01.10.U528073</t>
        </is>
      </c>
      <c r="D32" s="58" t="n"/>
      <c r="E32" s="59" t="n">
        <v>367.3</v>
      </c>
      <c r="F32" s="59" t="n">
        <v>1.06</v>
      </c>
      <c r="G32" s="59">
        <f>F32*E32</f>
        <v/>
      </c>
    </row>
    <row r="33" ht="35" customHeight="1">
      <c r="B33" s="57" t="n">
        <v>9000701604</v>
      </c>
      <c r="C33" s="57" t="inlineStr">
        <is>
          <t>01.10.U528073</t>
        </is>
      </c>
      <c r="D33" s="58" t="n"/>
      <c r="E33" s="59" t="n">
        <v>101424.8</v>
      </c>
      <c r="F33" s="59" t="n">
        <v>1.25</v>
      </c>
      <c r="G33" s="59">
        <f>F33*E33</f>
        <v/>
      </c>
    </row>
    <row r="34" ht="35" customHeight="1">
      <c r="B34" s="57" t="n">
        <v>9000701604</v>
      </c>
      <c r="C34" s="57" t="inlineStr">
        <is>
          <t>01.10.U528073</t>
        </is>
      </c>
      <c r="D34" s="58" t="n"/>
      <c r="E34" s="59" t="n">
        <v>1205.1</v>
      </c>
      <c r="F34" s="59" t="n">
        <v>1.13</v>
      </c>
      <c r="G34" s="59">
        <f>F34*E34</f>
        <v/>
      </c>
    </row>
    <row r="35" ht="35" customHeight="1">
      <c r="B35" s="57" t="inlineStr">
        <is>
          <t>9000678672</t>
        </is>
      </c>
      <c r="C35" s="57" t="inlineStr">
        <is>
          <t>01.10.L2924</t>
        </is>
      </c>
      <c r="D35" s="58" t="n"/>
      <c r="E35" s="59" t="n">
        <v>5345</v>
      </c>
      <c r="F35" s="59" t="n">
        <v>1.3</v>
      </c>
      <c r="G35" s="59">
        <f>F35*E35</f>
        <v/>
      </c>
    </row>
    <row r="36" ht="35" customHeight="1">
      <c r="B36" s="57" t="inlineStr">
        <is>
          <t>9000678672</t>
        </is>
      </c>
      <c r="C36" s="57" t="inlineStr">
        <is>
          <t>01.10.L2924</t>
        </is>
      </c>
      <c r="D36" s="58" t="n"/>
      <c r="E36" s="59" t="n">
        <v>121</v>
      </c>
      <c r="F36" s="59" t="n">
        <v>1.17</v>
      </c>
      <c r="G36" s="59">
        <f>F36*E36</f>
        <v/>
      </c>
    </row>
    <row r="37" ht="35" customHeight="1">
      <c r="A37" s="57" t="n"/>
      <c r="B37" s="57" t="n"/>
      <c r="C37" s="57" t="inlineStr">
        <is>
          <t>HS.CODE: 4107.12.00</t>
        </is>
      </c>
      <c r="D37" s="58" t="n"/>
      <c r="E37" s="59" t="n"/>
      <c r="F37" s="59" t="n"/>
      <c r="G37" s="59" t="n"/>
    </row>
    <row r="38" ht="35" customHeight="1">
      <c r="A38" s="54" t="n"/>
      <c r="B38" s="54" t="inlineStr">
        <is>
          <t>TOTAL:</t>
        </is>
      </c>
      <c r="C38" s="54" t="inlineStr">
        <is>
          <t>31 PALLETS</t>
        </is>
      </c>
      <c r="D38" s="55" t="n"/>
      <c r="E38" s="56">
        <f>SUM(E22:E36)</f>
        <v/>
      </c>
      <c r="F38" s="56" t="n"/>
      <c r="G38" s="56">
        <f>SUM(G22:G36)</f>
        <v/>
      </c>
    </row>
    <row r="39" ht="61.5" customHeight="1">
      <c r="A39" s="60" t="inlineStr">
        <is>
          <t>Manufacture:</t>
        </is>
      </c>
      <c r="B39" s="61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9" s="61" t="n"/>
      <c r="E39" s="61" t="n"/>
      <c r="F39" s="32" t="n"/>
      <c r="G39" s="26" t="n"/>
      <c r="H39" s="2" t="n"/>
      <c r="I39" s="2" t="n"/>
      <c r="J39" s="2" t="n"/>
      <c r="K39" s="2" t="n"/>
      <c r="L39" s="62" t="n"/>
      <c r="M39" s="63" t="n"/>
      <c r="N39" s="64" t="n"/>
      <c r="O39" s="64" t="n"/>
    </row>
    <row r="40" ht="42" customHeight="1">
      <c r="A40" s="65" t="inlineStr">
        <is>
          <t>BENEFICIARY BANK：BANK OF CHINA(HONG KONG)LIMITED PHNOM PENH BRANCH
                                                  /BANK OF CHINA PHNOM PENH BRANCH</t>
        </is>
      </c>
      <c r="D40" s="65" t="n"/>
      <c r="E40" s="65" t="n"/>
      <c r="F40" s="65" t="n"/>
      <c r="G40" s="26" t="n"/>
      <c r="H40" s="2" t="n"/>
      <c r="I40" s="2" t="n"/>
      <c r="J40" s="2" t="n"/>
      <c r="K40" s="2" t="n"/>
      <c r="L40" s="62" t="n"/>
      <c r="M40" s="63" t="n"/>
      <c r="N40" s="64" t="n"/>
      <c r="O40" s="64" t="n"/>
    </row>
    <row r="41" ht="24.75" customHeight="1">
      <c r="A41" s="66" t="inlineStr">
        <is>
          <t>A/C NO:100001100764430</t>
        </is>
      </c>
      <c r="H41" s="2" t="n"/>
      <c r="I41" s="2" t="n"/>
      <c r="J41" s="2" t="n"/>
      <c r="K41" s="2" t="n"/>
      <c r="L41" s="62" t="n"/>
      <c r="M41" s="63" t="n"/>
      <c r="N41" s="64" t="n"/>
      <c r="O41" s="64" t="n"/>
    </row>
    <row r="42" ht="27" customHeight="1">
      <c r="A42" s="66" t="inlineStr">
        <is>
          <t>SWIFT CODE  ：BKCHKHPPXXX</t>
        </is>
      </c>
      <c r="H42" s="2" t="n"/>
      <c r="I42" s="2" t="n"/>
      <c r="J42" s="2" t="n"/>
      <c r="K42" s="2" t="n"/>
      <c r="L42" s="62" t="n"/>
      <c r="M42" s="63" t="n"/>
      <c r="N42" s="64" t="n"/>
      <c r="O42" s="64" t="n"/>
    </row>
    <row r="43" ht="61.5" customHeight="1">
      <c r="A43" s="2" t="n"/>
      <c r="B43" s="2" t="n"/>
      <c r="C43" s="2" t="n"/>
      <c r="D43" s="2" t="n"/>
      <c r="E43" s="67" t="inlineStr">
        <is>
          <t>CALIFOR UPHOLSTERY MATERIALS CO., LTD.</t>
        </is>
      </c>
      <c r="F43" s="67" t="n"/>
      <c r="G43" s="67" t="n"/>
      <c r="H43" s="67" t="n"/>
      <c r="I43" s="2" t="n"/>
      <c r="J43" s="2" t="n"/>
      <c r="K43" s="2" t="n"/>
      <c r="L43" s="62" t="n"/>
      <c r="M43" s="63" t="n"/>
      <c r="N43" s="64" t="n"/>
      <c r="O43" s="64" t="n"/>
    </row>
    <row r="44" ht="42" customHeight="1">
      <c r="A44" s="2" t="n"/>
      <c r="B44" s="2" t="n"/>
      <c r="C44" s="2" t="n"/>
      <c r="D44" s="68" t="n"/>
      <c r="E44" s="69" t="n"/>
      <c r="F44" s="70" t="inlineStr">
        <is>
          <t>Sign &amp; Stamp</t>
        </is>
      </c>
      <c r="G44" s="71" t="n"/>
      <c r="H44" s="2" t="n"/>
      <c r="I44" s="2" t="n"/>
      <c r="J44" s="2" t="n"/>
      <c r="K44" s="2" t="n"/>
      <c r="L44" s="62" t="n"/>
      <c r="M44" s="63" t="n"/>
      <c r="N44" s="64" t="n"/>
      <c r="O44" s="64" t="n"/>
    </row>
    <row r="45" ht="24.75" customHeight="1">
      <c r="A45" s="2" t="n"/>
      <c r="B45" s="2" t="n"/>
      <c r="C45" s="2" t="n"/>
      <c r="D45" s="68" t="n"/>
      <c r="E45" s="69" t="n"/>
      <c r="F45" s="69" t="n"/>
      <c r="G45" s="71" t="n"/>
      <c r="H45" s="2" t="n"/>
      <c r="I45" s="2" t="n"/>
      <c r="J45" s="2" t="n"/>
      <c r="K45" s="2" t="n"/>
      <c r="L45" s="62" t="n"/>
      <c r="M45" s="63" t="n"/>
      <c r="N45" s="64" t="n"/>
      <c r="O45" s="64" t="n"/>
    </row>
    <row r="46" ht="27" customHeight="1">
      <c r="A46" s="2" t="n"/>
      <c r="B46" s="2" t="n"/>
      <c r="C46" s="2" t="n"/>
      <c r="D46" s="68" t="n"/>
      <c r="E46" s="69" t="n"/>
      <c r="F46" s="69" t="n"/>
      <c r="G46" s="71" t="n"/>
      <c r="H46" s="2" t="n"/>
      <c r="I46" s="2" t="n"/>
      <c r="J46" s="2" t="n"/>
      <c r="K46" s="2" t="n"/>
      <c r="L46" s="62" t="n"/>
      <c r="M46" s="63" t="n"/>
      <c r="N46" s="64" t="n"/>
      <c r="O46" s="64" t="n"/>
    </row>
    <row r="47" ht="21" customHeight="1">
      <c r="A47" s="2" t="n"/>
      <c r="B47" s="2" t="n"/>
      <c r="C47" s="2" t="n"/>
      <c r="D47" s="68" t="n"/>
      <c r="E47" s="69" t="n"/>
      <c r="F47" s="72" t="inlineStr">
        <is>
          <t>ZENG XUELI</t>
        </is>
      </c>
      <c r="G47" s="72" t="n"/>
      <c r="H47" s="2" t="n"/>
      <c r="I47" s="2" t="n"/>
      <c r="J47" s="2" t="n"/>
      <c r="K47" s="2" t="n"/>
      <c r="L47" s="62" t="n"/>
      <c r="M47" s="63" t="n"/>
      <c r="N47" s="64" t="n"/>
      <c r="O47" s="64" t="n"/>
    </row>
  </sheetData>
  <mergeCells count="10">
    <mergeCell ref="B39:C39"/>
    <mergeCell ref="A1:G1"/>
    <mergeCell ref="A3:G3"/>
    <mergeCell ref="A6:G6"/>
    <mergeCell ref="A4:G4"/>
    <mergeCell ref="A40:C40"/>
    <mergeCell ref="A2:G2"/>
    <mergeCell ref="A42:G42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5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6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7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6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8" t="inlineStr">
        <is>
          <t>Tel: +855   975910636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30" t="inlineStr">
        <is>
          <t>PACKING LIST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2" t="n"/>
      <c r="B7" s="73" t="n"/>
      <c r="C7" s="32" t="n"/>
      <c r="D7" s="32" t="n"/>
      <c r="E7" s="26" t="n"/>
      <c r="F7" s="26" t="n"/>
      <c r="G7" s="26" t="n"/>
      <c r="H7" s="33" t="inlineStr">
        <is>
          <t>Ref No.:</t>
        </is>
      </c>
      <c r="I7" s="74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5" t="inlineStr">
        <is>
          <t>EXPORTER:</t>
        </is>
      </c>
      <c r="B8" s="75" t="inlineStr">
        <is>
          <t>CALIFOR UPHOLSTERY MATERIALS CO., LTD.</t>
        </is>
      </c>
      <c r="C8" s="2" t="n"/>
      <c r="D8" s="2" t="n"/>
      <c r="E8" s="2" t="n"/>
      <c r="F8" s="37" t="n"/>
      <c r="G8" s="37" t="n"/>
      <c r="H8" s="37" t="inlineStr">
        <is>
          <t>INVOICE NO :</t>
        </is>
      </c>
      <c r="I8" s="76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2" t="n"/>
      <c r="B9" s="73" t="inlineStr">
        <is>
          <t>XIN BAVET SEZ, Road No. 316A, Trapeang Bon and Prey Kokir Villages,</t>
        </is>
      </c>
      <c r="C9" s="2" t="n"/>
      <c r="D9" s="2" t="n"/>
      <c r="E9" s="2" t="n"/>
      <c r="F9" s="26" t="n"/>
      <c r="G9" s="26" t="n"/>
      <c r="H9" s="37" t="inlineStr">
        <is>
          <t>Date:</t>
        </is>
      </c>
      <c r="I9" s="39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2" t="n"/>
      <c r="B10" s="73" t="inlineStr">
        <is>
          <t>Prey Kokir Commune, Chantrea District,Svay Rieng Province, Kingdom of Cambodia</t>
        </is>
      </c>
      <c r="C10" s="2" t="n"/>
      <c r="D10" s="2" t="n"/>
      <c r="E10" s="2" t="n"/>
      <c r="F10" s="26" t="n"/>
      <c r="G10" s="26" t="n"/>
      <c r="H10" s="40" t="inlineStr">
        <is>
          <t>FCA :</t>
        </is>
      </c>
      <c r="I10" s="77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2" t="n"/>
      <c r="B11" s="73" t="inlineStr">
        <is>
          <t>Tel: +855   975910636</t>
        </is>
      </c>
      <c r="C11" s="2" t="n"/>
      <c r="D11" s="2" t="n"/>
      <c r="E11" s="2" t="n"/>
      <c r="F11" s="26" t="n"/>
      <c r="G11" s="26" t="n"/>
      <c r="H11" s="26" t="n"/>
      <c r="I11" s="26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2" t="n"/>
      <c r="B12" s="73" t="n"/>
      <c r="C12" s="32" t="n"/>
      <c r="D12" s="32" t="n"/>
      <c r="E12" s="26" t="n"/>
      <c r="F12" s="26" t="n"/>
      <c r="G12" s="26" t="n"/>
      <c r="H12" s="26" t="n"/>
      <c r="I12" s="26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2" t="inlineStr">
        <is>
          <t>CONSIGNEE :</t>
        </is>
      </c>
      <c r="B13" s="78" t="inlineStr">
        <is>
          <t>JASON FURNITURE VIET NAM COMPANY LIMITED</t>
        </is>
      </c>
      <c r="C13" s="2" t="n"/>
      <c r="D13" s="2" t="n"/>
      <c r="E13" s="2" t="n"/>
      <c r="F13" s="79" t="n"/>
      <c r="G13" s="79" t="n"/>
      <c r="H13" s="79" t="n"/>
      <c r="I13" s="45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2" t="n"/>
      <c r="B14" s="80" t="inlineStr">
        <is>
          <t>LOT 37, 38, 39, 40, 41, 44, 50, 51, 54，55, 56，B2 CLUSTER, DONG XOAI III INDUSTRIAL ZONE,</t>
        </is>
      </c>
      <c r="C14" s="47" t="n"/>
      <c r="D14" s="47" t="n"/>
      <c r="E14" s="81" t="n"/>
      <c r="F14" s="81" t="n"/>
      <c r="G14" s="81" t="n"/>
      <c r="H14" s="81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2" t="n"/>
      <c r="B15" s="82" t="inlineStr">
        <is>
          <t>BINH PHUOC WARD,DONG NAI PROVINCE, VIETNAM</t>
        </is>
      </c>
      <c r="C15" s="49" t="n"/>
      <c r="D15" s="49" t="n"/>
      <c r="E15" s="45" t="n"/>
      <c r="F15" s="45" t="n"/>
      <c r="G15" s="45" t="n"/>
      <c r="H15" s="45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2" t="n"/>
      <c r="B16" s="48" t="inlineStr">
        <is>
          <t>Contact Person : Mr. Thuy   TEl: 0379367084</t>
        </is>
      </c>
      <c r="C16" s="49" t="n"/>
      <c r="D16" s="49" t="n"/>
      <c r="E16" s="45" t="n"/>
      <c r="F16" s="45" t="n"/>
      <c r="G16" s="45" t="n"/>
      <c r="H16" s="45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2" t="n"/>
      <c r="B17" s="48" t="inlineStr">
        <is>
          <t>EMAlL:jyangbin4720@dingtalk.com jialy@kukahome.com</t>
        </is>
      </c>
      <c r="C17" s="49" t="n"/>
      <c r="D17" s="49" t="n"/>
      <c r="E17" s="45" t="n"/>
      <c r="F17" s="45" t="n"/>
      <c r="G17" s="45" t="n"/>
      <c r="H17" s="45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2" t="n"/>
      <c r="B18" s="48" t="inlineStr">
        <is>
          <t>dailin@kukahome.com huanggf@kukahome.com zhangzp@kukahome.com</t>
        </is>
      </c>
      <c r="C18" s="32" t="n"/>
      <c r="D18" s="32" t="n"/>
      <c r="E18" s="26" t="n"/>
      <c r="F18" s="26" t="n"/>
      <c r="G18" s="26" t="n"/>
      <c r="H18" s="26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51" t="inlineStr">
        <is>
          <t xml:space="preserve">SHIP: </t>
        </is>
      </c>
      <c r="B19" s="73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3" t="n"/>
      <c r="B20" s="83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 ht="27" customHeight="1">
      <c r="A21" s="55" t="inlineStr">
        <is>
          <t>Mark &amp; Nº</t>
        </is>
      </c>
      <c r="B21" s="55" t="inlineStr">
        <is>
          <t>P.O Nº</t>
        </is>
      </c>
      <c r="C21" s="55" t="inlineStr">
        <is>
          <t>ITEM Nº</t>
        </is>
      </c>
      <c r="D21" s="55" t="inlineStr">
        <is>
          <t>Description</t>
        </is>
      </c>
      <c r="E21" s="55" t="inlineStr">
        <is>
          <t>Quantity(SF)</t>
        </is>
      </c>
      <c r="F21" s="84" t="n"/>
      <c r="G21" s="56" t="inlineStr">
        <is>
          <t>N.W (kgs)</t>
        </is>
      </c>
      <c r="H21" s="56" t="inlineStr">
        <is>
          <t>G.W (kgs)</t>
        </is>
      </c>
      <c r="I21" s="85" t="inlineStr">
        <is>
          <t>CBM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 ht="27" customHeight="1">
      <c r="A22" s="86" t="n"/>
      <c r="B22" s="86" t="n"/>
      <c r="C22" s="86" t="n"/>
      <c r="D22" s="86" t="n"/>
      <c r="E22" s="87" t="inlineStr">
        <is>
          <t>PCS</t>
        </is>
      </c>
      <c r="F22" s="56" t="inlineStr">
        <is>
          <t>SF</t>
        </is>
      </c>
      <c r="G22" s="86" t="n"/>
      <c r="H22" s="86" t="n"/>
      <c r="I22" s="86" t="n"/>
    </row>
    <row r="23" ht="27" customHeight="1">
      <c r="A23" s="58" t="inlineStr">
        <is>
          <t>VENDOR#:</t>
        </is>
      </c>
      <c r="B23" s="58" t="inlineStr">
        <is>
          <t>9000675121</t>
        </is>
      </c>
      <c r="C23" s="58" t="inlineStr">
        <is>
          <t>01.10.W653191</t>
        </is>
      </c>
      <c r="D23" s="58" t="n"/>
      <c r="E23" s="88" t="n">
        <v>122</v>
      </c>
      <c r="F23" s="59" t="n">
        <v>6461.7</v>
      </c>
      <c r="G23" s="59" t="n">
        <v>467.8306</v>
      </c>
      <c r="H23" s="59" t="n">
        <v>512.1048</v>
      </c>
      <c r="I23" s="89" t="n">
        <v>1.8312</v>
      </c>
    </row>
    <row r="24" ht="27" customHeight="1">
      <c r="A24" s="58" t="inlineStr">
        <is>
          <t>Des: LEATHER</t>
        </is>
      </c>
      <c r="B24" s="58" t="inlineStr">
        <is>
          <t>9000675121</t>
        </is>
      </c>
      <c r="C24" s="58" t="inlineStr">
        <is>
          <t>01.10.W653191</t>
        </is>
      </c>
      <c r="D24" s="58" t="n"/>
      <c r="E24" s="88" t="n">
        <v>2</v>
      </c>
      <c r="F24" s="59" t="n">
        <v>77.90000000000001</v>
      </c>
      <c r="G24" s="59" t="n">
        <v>7.6694</v>
      </c>
      <c r="H24" s="59" t="n">
        <v>8.395200000000001</v>
      </c>
      <c r="I24" s="89" t="n">
        <v>0.03</v>
      </c>
    </row>
    <row r="25" ht="27" customHeight="1">
      <c r="A25" s="58" t="inlineStr">
        <is>
          <t>Case Qty:</t>
        </is>
      </c>
      <c r="B25" s="58" t="inlineStr">
        <is>
          <t>9000678762</t>
        </is>
      </c>
      <c r="C25" s="58" t="inlineStr">
        <is>
          <t>01.10.U756071</t>
        </is>
      </c>
      <c r="D25" s="58" t="n"/>
      <c r="E25" s="88" t="n">
        <v>190</v>
      </c>
      <c r="F25" s="59" t="n">
        <v>10009.4</v>
      </c>
      <c r="G25" s="59" t="n">
        <v>757</v>
      </c>
      <c r="H25" s="59" t="n">
        <v>802</v>
      </c>
      <c r="I25" s="89" t="n">
        <v>2.4552</v>
      </c>
    </row>
    <row r="26" ht="27" customHeight="1">
      <c r="A26" s="58" t="inlineStr">
        <is>
          <t>MADE IN CAMBODIA</t>
        </is>
      </c>
      <c r="B26" s="58" t="inlineStr">
        <is>
          <t>9000678762</t>
        </is>
      </c>
      <c r="C26" s="58" t="inlineStr">
        <is>
          <t>01.10.U756071</t>
        </is>
      </c>
      <c r="D26" s="58" t="n"/>
      <c r="E26" s="88" t="n">
        <v>208</v>
      </c>
      <c r="F26" s="59" t="n">
        <v>10940.1</v>
      </c>
      <c r="G26" s="59" t="n">
        <v>842.2056</v>
      </c>
      <c r="H26" s="59" t="n">
        <v>885.9439</v>
      </c>
      <c r="I26" s="89" t="n">
        <v>2.6943</v>
      </c>
    </row>
    <row r="27" ht="27" customHeight="1">
      <c r="B27" s="58" t="inlineStr">
        <is>
          <t>9000678762</t>
        </is>
      </c>
      <c r="C27" s="58" t="inlineStr">
        <is>
          <t>01.10.U756071</t>
        </is>
      </c>
      <c r="D27" s="58" t="n"/>
      <c r="E27" s="88" t="n">
        <v>6</v>
      </c>
      <c r="F27" s="59" t="n">
        <v>241.9</v>
      </c>
      <c r="G27" s="59" t="n">
        <v>24.2944</v>
      </c>
      <c r="H27" s="59" t="n">
        <v>25.5561</v>
      </c>
      <c r="I27" s="89" t="n">
        <v>0.07770000000000001</v>
      </c>
    </row>
    <row r="28" ht="27" customHeight="1">
      <c r="B28" s="58" t="n">
        <v>9000697761</v>
      </c>
      <c r="C28" s="58" t="inlineStr">
        <is>
          <t>01.10.U528062</t>
        </is>
      </c>
      <c r="D28" s="58" t="n"/>
      <c r="E28" s="88" t="n">
        <v>154</v>
      </c>
      <c r="F28" s="59" t="n">
        <v>7788.7</v>
      </c>
      <c r="G28" s="59" t="n">
        <v>617.7907</v>
      </c>
      <c r="H28" s="59" t="n">
        <v>658.0814</v>
      </c>
      <c r="I28" s="89" t="n">
        <v>2.0564</v>
      </c>
    </row>
    <row r="29" ht="27" customHeight="1">
      <c r="B29" s="58" t="n">
        <v>9000697761</v>
      </c>
      <c r="C29" s="58" t="inlineStr">
        <is>
          <t>01.10.U528062</t>
        </is>
      </c>
      <c r="D29" s="58" t="n"/>
      <c r="E29" s="88" t="n">
        <v>18</v>
      </c>
      <c r="F29" s="59" t="n">
        <v>711.1</v>
      </c>
      <c r="G29" s="59" t="n">
        <v>72.2093</v>
      </c>
      <c r="H29" s="59" t="n">
        <v>76.9186</v>
      </c>
      <c r="I29" s="89" t="n">
        <v>0.2404</v>
      </c>
    </row>
    <row r="30" ht="27" customHeight="1">
      <c r="B30" s="58" t="n">
        <v>9000697761</v>
      </c>
      <c r="C30" s="58" t="inlineStr">
        <is>
          <t>01.10.U528062</t>
        </is>
      </c>
      <c r="D30" s="58" t="n"/>
      <c r="E30" s="88" t="n">
        <v>195</v>
      </c>
      <c r="F30" s="59" t="n">
        <v>10033.3</v>
      </c>
      <c r="G30" s="59" t="n">
        <v>814.5</v>
      </c>
      <c r="H30" s="59" t="n">
        <v>859.5</v>
      </c>
      <c r="I30" s="89" t="n">
        <v>2.376</v>
      </c>
    </row>
    <row r="31" ht="27" customHeight="1">
      <c r="B31" s="58" t="n">
        <v>9000697761</v>
      </c>
      <c r="C31" s="58" t="inlineStr">
        <is>
          <t>01.10.U528062</t>
        </is>
      </c>
      <c r="D31" s="58" t="n"/>
      <c r="E31" s="88" t="n">
        <v>200</v>
      </c>
      <c r="F31" s="59" t="n">
        <v>10334.8</v>
      </c>
      <c r="G31" s="59" t="n">
        <v>740.5286</v>
      </c>
      <c r="H31" s="59" t="n">
        <v>780.1762</v>
      </c>
      <c r="I31" s="89" t="n">
        <v>2.2678</v>
      </c>
    </row>
    <row r="32" ht="27" customHeight="1">
      <c r="B32" s="58" t="n">
        <v>9000699450</v>
      </c>
      <c r="C32" s="58" t="inlineStr">
        <is>
          <t>01.10.U528062</t>
        </is>
      </c>
      <c r="D32" s="58" t="n"/>
      <c r="E32" s="88" t="n">
        <v>27</v>
      </c>
      <c r="F32" s="59" t="n">
        <v>1065.4</v>
      </c>
      <c r="G32" s="59" t="n">
        <v>99.9714</v>
      </c>
      <c r="H32" s="59" t="n">
        <v>105.3238</v>
      </c>
      <c r="I32" s="89" t="n">
        <v>0.3062</v>
      </c>
    </row>
    <row r="33" ht="27" customHeight="1">
      <c r="B33" s="58" t="n">
        <v>9000699450</v>
      </c>
      <c r="C33" s="58" t="inlineStr">
        <is>
          <t>01.10.U528062</t>
        </is>
      </c>
      <c r="D33" s="58" t="n"/>
      <c r="E33" s="88" t="n">
        <v>169</v>
      </c>
      <c r="F33" s="59" t="n">
        <v>8660.5</v>
      </c>
      <c r="G33" s="59" t="n">
        <v>693.3828999999999</v>
      </c>
      <c r="H33" s="59" t="n">
        <v>736.84</v>
      </c>
      <c r="I33" s="89" t="n">
        <v>2.2181</v>
      </c>
    </row>
    <row r="34" ht="27" customHeight="1">
      <c r="B34" s="58" t="n">
        <v>9000699450</v>
      </c>
      <c r="C34" s="58" t="inlineStr">
        <is>
          <t>01.10.U528062</t>
        </is>
      </c>
      <c r="D34" s="58" t="n"/>
      <c r="E34" s="88" t="n">
        <v>6</v>
      </c>
      <c r="F34" s="59" t="n">
        <v>236</v>
      </c>
      <c r="G34" s="59" t="n">
        <v>24.6171</v>
      </c>
      <c r="H34" s="59" t="n">
        <v>26.16</v>
      </c>
      <c r="I34" s="89" t="n">
        <v>0.07870000000000001</v>
      </c>
    </row>
    <row r="35" ht="27" customHeight="1">
      <c r="B35" s="58" t="n">
        <v>9000699450</v>
      </c>
      <c r="C35" s="58" t="inlineStr">
        <is>
          <t>01.10.U528062</t>
        </is>
      </c>
      <c r="D35" s="58" t="n"/>
      <c r="E35" s="88" t="n">
        <v>195</v>
      </c>
      <c r="F35" s="59" t="n">
        <v>10057.4</v>
      </c>
      <c r="G35" s="59" t="n">
        <v>814.5</v>
      </c>
      <c r="H35" s="59" t="n">
        <v>859.5</v>
      </c>
      <c r="I35" s="89" t="n">
        <v>2.376</v>
      </c>
    </row>
    <row r="36" ht="27" customHeight="1">
      <c r="B36" s="58" t="n">
        <v>9000699450</v>
      </c>
      <c r="C36" s="58" t="inlineStr">
        <is>
          <t>01.10.U528073</t>
        </is>
      </c>
      <c r="D36" s="58" t="n"/>
      <c r="E36" s="88" t="n">
        <v>195</v>
      </c>
      <c r="F36" s="59" t="n">
        <v>10176.8</v>
      </c>
      <c r="G36" s="59" t="n">
        <v>830.5</v>
      </c>
      <c r="H36" s="59" t="n">
        <v>875.5</v>
      </c>
      <c r="I36" s="89" t="n">
        <v>2.6136</v>
      </c>
    </row>
    <row r="37" ht="27" customHeight="1">
      <c r="B37" s="58" t="n">
        <v>9000699450</v>
      </c>
      <c r="C37" s="58" t="inlineStr">
        <is>
          <t>01.10.U528073</t>
        </is>
      </c>
      <c r="D37" s="58" t="n"/>
      <c r="E37" s="88" t="n">
        <v>215</v>
      </c>
      <c r="F37" s="59" t="n">
        <v>11117</v>
      </c>
      <c r="G37" s="59" t="n">
        <v>901.5</v>
      </c>
      <c r="H37" s="59" t="n">
        <v>946.5</v>
      </c>
      <c r="I37" s="89" t="n">
        <v>2.97</v>
      </c>
    </row>
    <row r="38" ht="27" customHeight="1">
      <c r="B38" s="58" t="n">
        <v>9000699450</v>
      </c>
      <c r="C38" s="58" t="inlineStr">
        <is>
          <t>01.10.U528073</t>
        </is>
      </c>
      <c r="D38" s="58" t="n"/>
      <c r="E38" s="88" t="n">
        <v>215</v>
      </c>
      <c r="F38" s="59" t="n">
        <v>11227</v>
      </c>
      <c r="G38" s="59" t="n">
        <v>918</v>
      </c>
      <c r="H38" s="59" t="n">
        <v>963</v>
      </c>
      <c r="I38" s="89" t="n">
        <v>2.6136</v>
      </c>
    </row>
    <row r="39" ht="27" customHeight="1">
      <c r="B39" s="58" t="n">
        <v>9000699450</v>
      </c>
      <c r="C39" s="58" t="inlineStr">
        <is>
          <t>01.10.U528073</t>
        </is>
      </c>
      <c r="D39" s="58" t="n"/>
      <c r="E39" s="88" t="n">
        <v>192</v>
      </c>
      <c r="F39" s="59" t="n">
        <v>9879.4</v>
      </c>
      <c r="G39" s="59" t="n">
        <v>795.0291</v>
      </c>
      <c r="H39" s="59" t="n">
        <v>836.9709</v>
      </c>
      <c r="I39" s="89" t="n">
        <v>2.4729</v>
      </c>
    </row>
    <row r="40" ht="27" customHeight="1">
      <c r="B40" s="58" t="n">
        <v>9000699450</v>
      </c>
      <c r="C40" s="58" t="inlineStr">
        <is>
          <t>01.10.U528073</t>
        </is>
      </c>
      <c r="D40" s="58" t="n"/>
      <c r="E40" s="88" t="n">
        <v>14</v>
      </c>
      <c r="F40" s="59" t="n">
        <v>561</v>
      </c>
      <c r="G40" s="59" t="n">
        <v>57.9709</v>
      </c>
      <c r="H40" s="59" t="n">
        <v>61.0291</v>
      </c>
      <c r="I40" s="89" t="n">
        <v>0.1803</v>
      </c>
    </row>
    <row r="41" ht="27" customHeight="1">
      <c r="B41" s="58" t="n">
        <v>9000699450</v>
      </c>
      <c r="C41" s="58" t="inlineStr">
        <is>
          <t>01.10.U528073</t>
        </is>
      </c>
      <c r="D41" s="58" t="n"/>
      <c r="E41" s="88" t="n">
        <v>97</v>
      </c>
      <c r="F41" s="59" t="n">
        <v>5016.1</v>
      </c>
      <c r="G41" s="59" t="n">
        <v>408</v>
      </c>
      <c r="H41" s="59" t="n">
        <v>453</v>
      </c>
      <c r="I41" s="89" t="n">
        <v>1.782</v>
      </c>
    </row>
    <row r="42" ht="27" customHeight="1">
      <c r="B42" s="58" t="n">
        <v>9000699450</v>
      </c>
      <c r="C42" s="58" t="inlineStr">
        <is>
          <t>01.10.U528073</t>
        </is>
      </c>
      <c r="D42" s="58" t="n"/>
      <c r="E42" s="88" t="n">
        <v>97</v>
      </c>
      <c r="F42" s="59" t="n">
        <v>5022.5</v>
      </c>
      <c r="G42" s="59" t="n">
        <v>407</v>
      </c>
      <c r="H42" s="59" t="n">
        <v>452</v>
      </c>
      <c r="I42" s="89" t="n">
        <v>1.8216</v>
      </c>
    </row>
    <row r="43" ht="27" customHeight="1">
      <c r="B43" s="58" t="n">
        <v>9000699450</v>
      </c>
      <c r="C43" s="58" t="inlineStr">
        <is>
          <t>01.10.U528073</t>
        </is>
      </c>
      <c r="D43" s="58" t="n"/>
      <c r="E43" s="88" t="n">
        <v>184</v>
      </c>
      <c r="F43" s="59" t="n">
        <v>9583.5</v>
      </c>
      <c r="G43" s="59" t="n">
        <v>773.7684</v>
      </c>
      <c r="H43" s="59" t="n">
        <v>817.3474</v>
      </c>
      <c r="I43" s="89" t="n">
        <v>2.6461</v>
      </c>
    </row>
    <row r="44" ht="27" customHeight="1">
      <c r="B44" s="58" t="n">
        <v>9000699450</v>
      </c>
      <c r="C44" s="58" t="inlineStr">
        <is>
          <t>01.10.U528073</t>
        </is>
      </c>
      <c r="D44" s="58" t="n"/>
      <c r="E44" s="88" t="n">
        <v>6</v>
      </c>
      <c r="F44" s="59" t="n">
        <v>237.8</v>
      </c>
      <c r="G44" s="59" t="n">
        <v>25.2316</v>
      </c>
      <c r="H44" s="59" t="n">
        <v>26.6526</v>
      </c>
      <c r="I44" s="89" t="n">
        <v>0.0863</v>
      </c>
    </row>
    <row r="45" ht="27" customHeight="1">
      <c r="B45" s="58" t="n">
        <v>9000699450</v>
      </c>
      <c r="C45" s="58" t="inlineStr">
        <is>
          <t>01.10.U528073</t>
        </is>
      </c>
      <c r="D45" s="58" t="n"/>
      <c r="E45" s="88" t="n">
        <v>185</v>
      </c>
      <c r="F45" s="59" t="n">
        <v>9782.9</v>
      </c>
      <c r="G45" s="59" t="n">
        <v>786.25</v>
      </c>
      <c r="H45" s="59" t="n">
        <v>830.0658</v>
      </c>
      <c r="I45" s="89" t="n">
        <v>2.5063</v>
      </c>
    </row>
    <row r="46" ht="27" customHeight="1">
      <c r="B46" s="58" t="n">
        <v>9000699450</v>
      </c>
      <c r="C46" s="58" t="inlineStr">
        <is>
          <t>01.10.U528073</t>
        </is>
      </c>
      <c r="D46" s="58" t="n"/>
      <c r="E46" s="88" t="n">
        <v>5</v>
      </c>
      <c r="F46" s="59" t="n">
        <v>199</v>
      </c>
      <c r="G46" s="59" t="n">
        <v>21.25</v>
      </c>
      <c r="H46" s="59" t="n">
        <v>22.4342</v>
      </c>
      <c r="I46" s="89" t="n">
        <v>0.0677</v>
      </c>
    </row>
    <row r="47" ht="27" customHeight="1">
      <c r="B47" s="58" t="n">
        <v>9000699450</v>
      </c>
      <c r="C47" s="58" t="inlineStr">
        <is>
          <t>01.10.U528073</t>
        </is>
      </c>
      <c r="D47" s="58" t="n"/>
      <c r="E47" s="88" t="n">
        <v>190</v>
      </c>
      <c r="F47" s="59" t="n">
        <v>10009.4</v>
      </c>
      <c r="G47" s="59" t="n">
        <v>824</v>
      </c>
      <c r="H47" s="59" t="n">
        <v>869</v>
      </c>
      <c r="I47" s="89" t="n">
        <v>2.574</v>
      </c>
    </row>
    <row r="48" ht="27" customHeight="1">
      <c r="B48" s="58" t="n">
        <v>9000699450</v>
      </c>
      <c r="C48" s="58" t="inlineStr">
        <is>
          <t>01.10.U528073</t>
        </is>
      </c>
      <c r="D48" s="58" t="n"/>
      <c r="E48" s="88" t="n">
        <v>195</v>
      </c>
      <c r="F48" s="59" t="n">
        <v>10072.6</v>
      </c>
      <c r="G48" s="59" t="n">
        <v>821</v>
      </c>
      <c r="H48" s="59" t="n">
        <v>866</v>
      </c>
      <c r="I48" s="89" t="n">
        <v>2.574</v>
      </c>
    </row>
    <row r="49" ht="27" customHeight="1">
      <c r="B49" s="58" t="n">
        <v>9000699450</v>
      </c>
      <c r="C49" s="58" t="inlineStr">
        <is>
          <t>01.10.U528073</t>
        </is>
      </c>
      <c r="D49" s="58" t="n"/>
      <c r="E49" s="88" t="n">
        <v>195</v>
      </c>
      <c r="F49" s="59" t="n">
        <v>10117.1</v>
      </c>
      <c r="G49" s="59" t="n">
        <v>825.5</v>
      </c>
      <c r="H49" s="59" t="n">
        <v>870.5</v>
      </c>
      <c r="I49" s="89" t="n">
        <v>2.4948</v>
      </c>
    </row>
    <row r="50" ht="27" customHeight="1">
      <c r="B50" s="58" t="n">
        <v>9000699450</v>
      </c>
      <c r="C50" s="58" t="inlineStr">
        <is>
          <t>01.10.U528073</t>
        </is>
      </c>
      <c r="D50" s="58" t="n"/>
      <c r="E50" s="88" t="n">
        <v>89</v>
      </c>
      <c r="F50" s="59" t="n">
        <v>4707.4</v>
      </c>
      <c r="G50" s="59" t="n">
        <v>376.5385</v>
      </c>
      <c r="H50" s="59" t="n">
        <v>415.0481</v>
      </c>
      <c r="I50" s="89" t="n">
        <v>1.4572</v>
      </c>
    </row>
    <row r="51" ht="27" customHeight="1">
      <c r="B51" s="58" t="n">
        <v>9000699450</v>
      </c>
      <c r="C51" s="58" t="inlineStr">
        <is>
          <t>01.10.U528073</t>
        </is>
      </c>
      <c r="D51" s="58" t="n"/>
      <c r="E51" s="88" t="n">
        <v>8</v>
      </c>
      <c r="F51" s="59" t="n">
        <v>322.8</v>
      </c>
      <c r="G51" s="59" t="n">
        <v>33.8462</v>
      </c>
      <c r="H51" s="59" t="n">
        <v>37.3077</v>
      </c>
      <c r="I51" s="89" t="n">
        <v>0.131</v>
      </c>
    </row>
    <row r="52" ht="27" customHeight="1">
      <c r="B52" s="58" t="n">
        <v>9000699450</v>
      </c>
      <c r="C52" s="58" t="inlineStr">
        <is>
          <t>01.10.U528073</t>
        </is>
      </c>
      <c r="D52" s="58" t="n"/>
      <c r="E52" s="88" t="n">
        <v>7</v>
      </c>
      <c r="F52" s="59" t="n">
        <v>367.3</v>
      </c>
      <c r="G52" s="59" t="n">
        <v>29.6154</v>
      </c>
      <c r="H52" s="59" t="n">
        <v>32.6442</v>
      </c>
      <c r="I52" s="89" t="n">
        <v>0.1146</v>
      </c>
    </row>
    <row r="53" ht="27" customHeight="1"/>
    <row r="54" ht="27" customHeight="1">
      <c r="A54" s="58" t="n"/>
      <c r="B54" s="58" t="inlineStr">
        <is>
          <t>LEATHER (HS.CODE: 4107.12.00)</t>
        </is>
      </c>
      <c r="C54" s="58" t="n"/>
      <c r="D54" s="58" t="n"/>
      <c r="E54" s="88" t="n"/>
      <c r="F54" s="59" t="n"/>
      <c r="G54" s="59" t="n"/>
      <c r="H54" s="59" t="n"/>
      <c r="I54" s="89" t="n"/>
    </row>
    <row r="55" ht="27" customHeight="1">
      <c r="A55" s="55" t="n"/>
      <c r="B55" s="55" t="inlineStr">
        <is>
          <t>TOTAL:</t>
        </is>
      </c>
      <c r="C55" s="55" t="inlineStr">
        <is>
          <t>20 PALLETS</t>
        </is>
      </c>
      <c r="D55" s="55" t="n"/>
      <c r="E55" s="87">
        <f>SUM(E23:E52)</f>
        <v/>
      </c>
      <c r="F55" s="56">
        <f>SUM(F23:F52)</f>
        <v/>
      </c>
      <c r="G55" s="56">
        <f>SUM(G23:G52)</f>
        <v/>
      </c>
      <c r="H55" s="56">
        <f>SUM(H23:H52)</f>
        <v/>
      </c>
      <c r="I55" s="85">
        <f>SUM(I23:I52)</f>
        <v/>
      </c>
    </row>
    <row r="57" ht="27" customHeight="1">
      <c r="A57" s="55" t="inlineStr">
        <is>
          <t>Mark &amp; Nº</t>
        </is>
      </c>
      <c r="B57" s="55" t="inlineStr">
        <is>
          <t>P.O Nº</t>
        </is>
      </c>
      <c r="C57" s="55" t="inlineStr">
        <is>
          <t>ITEM Nº</t>
        </is>
      </c>
      <c r="D57" s="55" t="inlineStr">
        <is>
          <t>Description</t>
        </is>
      </c>
      <c r="E57" s="55" t="inlineStr">
        <is>
          <t>Quantity(SF)</t>
        </is>
      </c>
      <c r="F57" s="84" t="n"/>
      <c r="G57" s="56" t="inlineStr">
        <is>
          <t>N.W (kgs)</t>
        </is>
      </c>
      <c r="H57" s="56" t="inlineStr">
        <is>
          <t>G.W (kgs)</t>
        </is>
      </c>
      <c r="I57" s="85" t="inlineStr">
        <is>
          <t>CBM</t>
        </is>
      </c>
    </row>
    <row r="58" ht="27" customHeight="1">
      <c r="A58" s="86" t="n"/>
      <c r="B58" s="86" t="n"/>
      <c r="C58" s="86" t="n"/>
      <c r="D58" s="86" t="n"/>
      <c r="E58" s="87" t="inlineStr">
        <is>
          <t>PCS</t>
        </is>
      </c>
      <c r="F58" s="56" t="inlineStr">
        <is>
          <t>SF</t>
        </is>
      </c>
      <c r="G58" s="86" t="n"/>
      <c r="H58" s="86" t="n"/>
      <c r="I58" s="86" t="n"/>
    </row>
    <row r="59" ht="27" customHeight="1">
      <c r="A59" s="58" t="inlineStr">
        <is>
          <t>VENDOR#:</t>
        </is>
      </c>
      <c r="B59" s="58" t="n">
        <v>9000701604</v>
      </c>
      <c r="C59" s="58" t="inlineStr">
        <is>
          <t>01.10.U528073</t>
        </is>
      </c>
      <c r="D59" s="58" t="n"/>
      <c r="E59" s="88" t="n">
        <v>195</v>
      </c>
      <c r="F59" s="59" t="n">
        <v>10187.1</v>
      </c>
      <c r="G59" s="59" t="n">
        <v>842.5</v>
      </c>
      <c r="H59" s="59" t="n">
        <v>887.5</v>
      </c>
      <c r="I59" s="89" t="n">
        <v>2.6532</v>
      </c>
    </row>
    <row r="60" ht="27" customHeight="1">
      <c r="A60" s="58" t="inlineStr">
        <is>
          <t>Des: LEATHER</t>
        </is>
      </c>
      <c r="B60" s="58" t="n">
        <v>9000701604</v>
      </c>
      <c r="C60" s="58" t="inlineStr">
        <is>
          <t>01.10.U528073</t>
        </is>
      </c>
      <c r="D60" s="58" t="n"/>
      <c r="E60" s="88" t="n">
        <v>195</v>
      </c>
      <c r="F60" s="59" t="n">
        <v>10219.2</v>
      </c>
      <c r="G60" s="59" t="n">
        <v>846</v>
      </c>
      <c r="H60" s="59" t="n">
        <v>891</v>
      </c>
      <c r="I60" s="89" t="n">
        <v>2.4948</v>
      </c>
    </row>
    <row r="61" ht="27" customHeight="1">
      <c r="A61" s="58" t="inlineStr">
        <is>
          <t>Case Qty:</t>
        </is>
      </c>
      <c r="B61" s="58" t="n">
        <v>9000701604</v>
      </c>
      <c r="C61" s="58" t="inlineStr">
        <is>
          <t>01.10.U528073</t>
        </is>
      </c>
      <c r="D61" s="58" t="n"/>
      <c r="E61" s="88" t="n">
        <v>207</v>
      </c>
      <c r="F61" s="59" t="n">
        <v>10773.3</v>
      </c>
      <c r="G61" s="59" t="n">
        <v>883.7671</v>
      </c>
      <c r="H61" s="59" t="n">
        <v>926.3013999999999</v>
      </c>
      <c r="I61" s="89" t="n">
        <v>2.8447</v>
      </c>
    </row>
    <row r="62" ht="27" customHeight="1">
      <c r="A62" s="58" t="inlineStr">
        <is>
          <t>MADE IN CAMBODIA</t>
        </is>
      </c>
      <c r="B62" s="58" t="n">
        <v>9000701604</v>
      </c>
      <c r="C62" s="58" t="inlineStr">
        <is>
          <t>01.10.U528073</t>
        </is>
      </c>
      <c r="D62" s="58" t="n"/>
      <c r="E62" s="88" t="n">
        <v>12</v>
      </c>
      <c r="F62" s="59" t="n">
        <v>479.1</v>
      </c>
      <c r="G62" s="59" t="n">
        <v>51.2329</v>
      </c>
      <c r="H62" s="59" t="n">
        <v>53.6986</v>
      </c>
      <c r="I62" s="89" t="n">
        <v>0.1649</v>
      </c>
    </row>
    <row r="63" ht="27" customHeight="1">
      <c r="B63" s="58" t="n">
        <v>9000701604</v>
      </c>
      <c r="C63" s="58" t="inlineStr">
        <is>
          <t>01.10.U528073</t>
        </is>
      </c>
      <c r="D63" s="58" t="n"/>
      <c r="E63" s="88" t="n">
        <v>195</v>
      </c>
      <c r="F63" s="59" t="n">
        <v>10215.8</v>
      </c>
      <c r="G63" s="59" t="n">
        <v>840</v>
      </c>
      <c r="H63" s="59" t="n">
        <v>885</v>
      </c>
      <c r="I63" s="89" t="n">
        <v>2.6136</v>
      </c>
    </row>
    <row r="64" ht="27" customHeight="1">
      <c r="B64" s="58" t="n">
        <v>9000701604</v>
      </c>
      <c r="C64" s="58" t="inlineStr">
        <is>
          <t>01.10.U528073</t>
        </is>
      </c>
      <c r="D64" s="58" t="n"/>
      <c r="E64" s="88" t="n">
        <v>195</v>
      </c>
      <c r="F64" s="59" t="n">
        <v>10237.5</v>
      </c>
      <c r="G64" s="59" t="n">
        <v>863.5</v>
      </c>
      <c r="H64" s="59" t="n">
        <v>908.5</v>
      </c>
      <c r="I64" s="89" t="n">
        <v>2.6928</v>
      </c>
    </row>
    <row r="65" ht="27" customHeight="1">
      <c r="B65" s="58" t="n">
        <v>9000701604</v>
      </c>
      <c r="C65" s="58" t="inlineStr">
        <is>
          <t>01.10.U528073</t>
        </is>
      </c>
      <c r="D65" s="58" t="n"/>
      <c r="E65" s="88" t="n">
        <v>195</v>
      </c>
      <c r="F65" s="59" t="n">
        <v>10196.1</v>
      </c>
      <c r="G65" s="59" t="n">
        <v>849</v>
      </c>
      <c r="H65" s="59" t="n">
        <v>894</v>
      </c>
      <c r="I65" s="89" t="n">
        <v>2.6136</v>
      </c>
    </row>
    <row r="66" ht="27" customHeight="1">
      <c r="B66" s="58" t="n">
        <v>9000701604</v>
      </c>
      <c r="C66" s="58" t="inlineStr">
        <is>
          <t>01.10.U528073</t>
        </is>
      </c>
      <c r="D66" s="58" t="n"/>
      <c r="E66" s="88" t="n">
        <v>175</v>
      </c>
      <c r="F66" s="59" t="n">
        <v>9097.6</v>
      </c>
      <c r="G66" s="59" t="n">
        <v>739.443</v>
      </c>
      <c r="H66" s="59" t="n">
        <v>780.2461</v>
      </c>
      <c r="I66" s="89" t="n">
        <v>2.3339</v>
      </c>
    </row>
    <row r="67" ht="27" customHeight="1">
      <c r="B67" s="58" t="n">
        <v>9000701604</v>
      </c>
      <c r="C67" s="58" t="inlineStr">
        <is>
          <t>01.10.U528073</t>
        </is>
      </c>
      <c r="D67" s="58" t="n"/>
      <c r="E67" s="88" t="n">
        <v>18</v>
      </c>
      <c r="F67" s="59" t="n">
        <v>726</v>
      </c>
      <c r="G67" s="59" t="n">
        <v>76.057</v>
      </c>
      <c r="H67" s="59" t="n">
        <v>80.2539</v>
      </c>
      <c r="I67" s="89" t="n">
        <v>0.2401</v>
      </c>
    </row>
    <row r="68" ht="27" customHeight="1">
      <c r="B68" s="58" t="n">
        <v>9000701604</v>
      </c>
      <c r="C68" s="58" t="inlineStr">
        <is>
          <t>01.10.U528073</t>
        </is>
      </c>
      <c r="D68" s="58" t="n"/>
      <c r="E68" s="88" t="n">
        <v>195</v>
      </c>
      <c r="F68" s="59" t="n">
        <v>10110.4</v>
      </c>
      <c r="G68" s="59" t="n">
        <v>840</v>
      </c>
      <c r="H68" s="59" t="n">
        <v>885</v>
      </c>
      <c r="I68" s="89" t="n">
        <v>2.574</v>
      </c>
    </row>
    <row r="69" ht="27" customHeight="1">
      <c r="B69" s="58" t="n">
        <v>9000701604</v>
      </c>
      <c r="C69" s="58" t="inlineStr">
        <is>
          <t>01.10.U528073</t>
        </is>
      </c>
      <c r="D69" s="58" t="n"/>
      <c r="E69" s="88" t="n">
        <v>195</v>
      </c>
      <c r="F69" s="59" t="n">
        <v>10165.7</v>
      </c>
      <c r="G69" s="59" t="n">
        <v>844.5</v>
      </c>
      <c r="H69" s="59" t="n">
        <v>889.5</v>
      </c>
      <c r="I69" s="89" t="n">
        <v>2.772</v>
      </c>
    </row>
    <row r="70" ht="27" customHeight="1">
      <c r="B70" s="58" t="n">
        <v>9000701604</v>
      </c>
      <c r="C70" s="58" t="inlineStr">
        <is>
          <t>01.10.U528073</t>
        </is>
      </c>
      <c r="D70" s="58" t="n"/>
      <c r="E70" s="88" t="n">
        <v>195</v>
      </c>
      <c r="F70" s="59" t="n">
        <v>10222.1</v>
      </c>
      <c r="G70" s="59" t="n">
        <v>843</v>
      </c>
      <c r="H70" s="59" t="n">
        <v>888</v>
      </c>
      <c r="I70" s="89" t="n">
        <v>2.6136</v>
      </c>
    </row>
    <row r="71" ht="27" customHeight="1">
      <c r="B71" s="58" t="inlineStr">
        <is>
          <t>9000678672</t>
        </is>
      </c>
      <c r="C71" s="58" t="inlineStr">
        <is>
          <t>01.10.L2924</t>
        </is>
      </c>
      <c r="D71" s="58" t="n"/>
      <c r="E71" s="88" t="n">
        <v>106</v>
      </c>
      <c r="F71" s="59" t="n">
        <v>5345</v>
      </c>
      <c r="G71" s="59" t="n">
        <v>381.211</v>
      </c>
      <c r="H71" s="59" t="n">
        <v>424.9725</v>
      </c>
      <c r="I71" s="89" t="n">
        <v>2.0795</v>
      </c>
    </row>
    <row r="72" ht="27" customHeight="1">
      <c r="B72" s="58" t="inlineStr">
        <is>
          <t>9000678672</t>
        </is>
      </c>
      <c r="C72" s="58" t="inlineStr">
        <is>
          <t>01.10.L2924</t>
        </is>
      </c>
      <c r="D72" s="58" t="n"/>
      <c r="E72" s="88" t="n">
        <v>3</v>
      </c>
      <c r="F72" s="59" t="n">
        <v>121</v>
      </c>
      <c r="G72" s="59" t="n">
        <v>10.789</v>
      </c>
      <c r="H72" s="59" t="n">
        <v>12.0275</v>
      </c>
      <c r="I72" s="89" t="n">
        <v>0.0589</v>
      </c>
    </row>
    <row r="73" ht="27" customHeight="1"/>
    <row r="74" ht="27" customHeight="1">
      <c r="A74" s="58" t="n"/>
      <c r="B74" s="58" t="inlineStr">
        <is>
          <t>LEATHER (HS.CODE: 4107.12.00)</t>
        </is>
      </c>
      <c r="C74" s="58" t="n"/>
      <c r="D74" s="58" t="n"/>
      <c r="E74" s="88" t="n"/>
      <c r="F74" s="59" t="n"/>
      <c r="G74" s="59" t="n"/>
      <c r="H74" s="59" t="n"/>
      <c r="I74" s="89" t="n"/>
    </row>
    <row r="75" ht="27" customHeight="1">
      <c r="A75" s="55" t="n"/>
      <c r="B75" s="55" t="inlineStr">
        <is>
          <t>TOTAL:</t>
        </is>
      </c>
      <c r="C75" s="55" t="inlineStr">
        <is>
          <t>11 PALLETS</t>
        </is>
      </c>
      <c r="D75" s="55" t="n"/>
      <c r="E75" s="87">
        <f>SUM(E59:E72)</f>
        <v/>
      </c>
      <c r="F75" s="56">
        <f>SUM(F59:F72)</f>
        <v/>
      </c>
      <c r="G75" s="56">
        <f>SUM(G59:G72)</f>
        <v/>
      </c>
      <c r="H75" s="56">
        <f>SUM(H59:H72)</f>
        <v/>
      </c>
      <c r="I75" s="85">
        <f>SUM(I59:I72)</f>
        <v/>
      </c>
    </row>
    <row r="77" ht="27" customHeight="1">
      <c r="A77" s="55" t="n"/>
      <c r="B77" s="55" t="inlineStr">
        <is>
          <t>TOTAL OF:</t>
        </is>
      </c>
      <c r="C77" s="55" t="inlineStr">
        <is>
          <t>31 PALLETS</t>
        </is>
      </c>
      <c r="D77" s="55" t="n"/>
      <c r="E77" s="87">
        <f>SUM(E23:E52,E59:E72)</f>
        <v/>
      </c>
      <c r="F77" s="56">
        <f>SUM(F23:F52,F59:F72)</f>
        <v/>
      </c>
      <c r="G77" s="56">
        <f>SUM(G23:G52,G59:G72)</f>
        <v/>
      </c>
      <c r="H77" s="56">
        <f>SUM(H23:H52,H59:H72)</f>
        <v/>
      </c>
      <c r="I77" s="85">
        <f>SUM(I23:I52,I59:I72)</f>
        <v/>
      </c>
    </row>
    <row r="78" ht="27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</sheetData>
  <mergeCells count="27">
    <mergeCell ref="G57:G58"/>
    <mergeCell ref="B55"/>
    <mergeCell ref="D21:D22"/>
    <mergeCell ref="A3:I3"/>
    <mergeCell ref="H21:H22"/>
    <mergeCell ref="I57:I58"/>
    <mergeCell ref="B57:B58"/>
    <mergeCell ref="A2:I2"/>
    <mergeCell ref="D57:D58"/>
    <mergeCell ref="B75"/>
    <mergeCell ref="A5:I5"/>
    <mergeCell ref="C21:C22"/>
    <mergeCell ref="I21:I22"/>
    <mergeCell ref="B74:D74"/>
    <mergeCell ref="A4:I4"/>
    <mergeCell ref="H57:H58"/>
    <mergeCell ref="A21:A22"/>
    <mergeCell ref="A57:A58"/>
    <mergeCell ref="C57:C58"/>
    <mergeCell ref="B77"/>
    <mergeCell ref="B54:D54"/>
    <mergeCell ref="E57:F57"/>
    <mergeCell ref="A1:I1"/>
    <mergeCell ref="G21:G22"/>
    <mergeCell ref="A6:I6"/>
    <mergeCell ref="B21:B22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2025-11-14T07:37:31Z</dcterms:created>
  <dcterms:modified xmlns:dcterms="http://purl.org/dc/terms/" xmlns:xsi="http://www.w3.org/2001/XMLSchema-instance" xsi:type="dcterms:W3CDTF">2025-11-14T07:37:33Z</dcterms:modified>
</cp:coreProperties>
</file>